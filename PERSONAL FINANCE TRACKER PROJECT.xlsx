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ya\Downloads\"/>
    </mc:Choice>
  </mc:AlternateContent>
  <xr:revisionPtr revIDLastSave="0" documentId="13_ncr:1_{8B0F03C2-F5AB-4363-8C56-2E1DAC37B6C6}" xr6:coauthVersionLast="47" xr6:coauthVersionMax="47" xr10:uidLastSave="{00000000-0000-0000-0000-000000000000}"/>
  <bookViews>
    <workbookView xWindow="0" yWindow="180" windowWidth="17280" windowHeight="8880" xr2:uid="{478817A9-240B-49B4-B6BC-41DD3EB83A65}"/>
  </bookViews>
  <sheets>
    <sheet name="Raw_Data_Q1" sheetId="1" r:id="rId1"/>
    <sheet name="Raw_Data_Q2" sheetId="2" r:id="rId2"/>
    <sheet name="Raw_Data_Q3" sheetId="3" r:id="rId3"/>
    <sheet name="Raw_Data_Q4" sheetId="4" r:id="rId4"/>
    <sheet name="Raw_Data_Q5" sheetId="5" r:id="rId5"/>
    <sheet name="Summary_Dashboard" sheetId="6" r:id="rId6"/>
  </sheets>
  <definedNames>
    <definedName name="ExternalData_1" localSheetId="0" hidden="1">Raw_Data_Q1!$A$1:$C$13</definedName>
    <definedName name="ExternalData_1" localSheetId="1" hidden="1">Raw_Data_Q2!$A$1:$D$13</definedName>
    <definedName name="ExternalData_1" localSheetId="2" hidden="1">Raw_Data_Q3!$A$1:$B$4</definedName>
    <definedName name="ExternalData_1" localSheetId="3" hidden="1">Raw_Data_Q4!$A$1:$F$33</definedName>
    <definedName name="ExternalData_1" localSheetId="4" hidden="1">Raw_Data_Q5!$A$1:$D$13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6" i="6" l="1"/>
  <c r="C67" i="6"/>
  <c r="C68" i="6"/>
  <c r="C69" i="6"/>
  <c r="C70" i="6"/>
  <c r="C71" i="6"/>
  <c r="C72" i="6"/>
  <c r="C73" i="6"/>
  <c r="D73" i="6" s="1"/>
  <c r="E73" i="6" s="1"/>
  <c r="C74" i="6"/>
  <c r="C75" i="6"/>
  <c r="C76" i="6"/>
  <c r="B66" i="6"/>
  <c r="B67" i="6"/>
  <c r="B68" i="6"/>
  <c r="B69" i="6"/>
  <c r="B70" i="6"/>
  <c r="B71" i="6"/>
  <c r="B72" i="6"/>
  <c r="B73" i="6"/>
  <c r="B74" i="6"/>
  <c r="B75" i="6"/>
  <c r="B76" i="6"/>
  <c r="A66" i="6"/>
  <c r="A67" i="6"/>
  <c r="A68" i="6"/>
  <c r="A69" i="6"/>
  <c r="A70" i="6"/>
  <c r="A71" i="6"/>
  <c r="A72" i="6"/>
  <c r="A73" i="6"/>
  <c r="A74" i="6"/>
  <c r="A75" i="6"/>
  <c r="A76" i="6"/>
  <c r="C65" i="6"/>
  <c r="B65" i="6"/>
  <c r="A65" i="6"/>
  <c r="D23" i="6"/>
  <c r="E23" i="6" s="1"/>
  <c r="F23" i="6" s="1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D22" i="6"/>
  <c r="C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22" i="6"/>
  <c r="A53" i="6"/>
  <c r="A50" i="6"/>
  <c r="A51" i="6"/>
  <c r="A52" i="6"/>
  <c r="A42" i="6"/>
  <c r="A43" i="6"/>
  <c r="A44" i="6"/>
  <c r="A45" i="6"/>
  <c r="A46" i="6"/>
  <c r="A47" i="6"/>
  <c r="A48" i="6"/>
  <c r="A49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22" i="6"/>
  <c r="D16" i="6"/>
  <c r="C5" i="6"/>
  <c r="C6" i="6"/>
  <c r="C7" i="6"/>
  <c r="C8" i="6"/>
  <c r="C9" i="6"/>
  <c r="C10" i="6"/>
  <c r="C11" i="6"/>
  <c r="C12" i="6"/>
  <c r="C13" i="6"/>
  <c r="C14" i="6"/>
  <c r="C15" i="6"/>
  <c r="B5" i="6"/>
  <c r="E5" i="6" s="1"/>
  <c r="B6" i="6"/>
  <c r="E6" i="6" s="1"/>
  <c r="B7" i="6"/>
  <c r="E7" i="6" s="1"/>
  <c r="B8" i="6"/>
  <c r="E8" i="6" s="1"/>
  <c r="B9" i="6"/>
  <c r="E9" i="6" s="1"/>
  <c r="B10" i="6"/>
  <c r="E10" i="6" s="1"/>
  <c r="B11" i="6"/>
  <c r="E11" i="6" s="1"/>
  <c r="B12" i="6"/>
  <c r="E12" i="6" s="1"/>
  <c r="B13" i="6"/>
  <c r="E13" i="6" s="1"/>
  <c r="B14" i="6"/>
  <c r="E14" i="6" s="1"/>
  <c r="B15" i="6"/>
  <c r="E15" i="6" s="1"/>
  <c r="B4" i="6"/>
  <c r="E4" i="6" s="1"/>
  <c r="C4" i="6"/>
  <c r="D72" i="6" l="1"/>
  <c r="E72" i="6" s="1"/>
  <c r="E22" i="6"/>
  <c r="E46" i="6"/>
  <c r="G46" i="6" s="1"/>
  <c r="E38" i="6"/>
  <c r="F38" i="6" s="1"/>
  <c r="E30" i="6"/>
  <c r="E51" i="6"/>
  <c r="F51" i="6" s="1"/>
  <c r="E43" i="6"/>
  <c r="F43" i="6" s="1"/>
  <c r="E35" i="6"/>
  <c r="F35" i="6" s="1"/>
  <c r="E27" i="6"/>
  <c r="F27" i="6" s="1"/>
  <c r="E48" i="6"/>
  <c r="E40" i="6"/>
  <c r="G40" i="6" s="1"/>
  <c r="E32" i="6"/>
  <c r="E24" i="6"/>
  <c r="F24" i="6" s="1"/>
  <c r="E47" i="6"/>
  <c r="F47" i="6" s="1"/>
  <c r="E39" i="6"/>
  <c r="F39" i="6" s="1"/>
  <c r="E31" i="6"/>
  <c r="F31" i="6" s="1"/>
  <c r="E52" i="6"/>
  <c r="G52" i="6" s="1"/>
  <c r="E44" i="6"/>
  <c r="E36" i="6"/>
  <c r="F36" i="6" s="1"/>
  <c r="E28" i="6"/>
  <c r="F28" i="6" s="1"/>
  <c r="D69" i="6"/>
  <c r="E69" i="6" s="1"/>
  <c r="D76" i="6"/>
  <c r="E76" i="6" s="1"/>
  <c r="D68" i="6"/>
  <c r="E68" i="6" s="1"/>
  <c r="E50" i="6"/>
  <c r="F50" i="6" s="1"/>
  <c r="E42" i="6"/>
  <c r="G42" i="6" s="1"/>
  <c r="E34" i="6"/>
  <c r="E26" i="6"/>
  <c r="G26" i="6" s="1"/>
  <c r="E49" i="6"/>
  <c r="G49" i="6" s="1"/>
  <c r="E41" i="6"/>
  <c r="G41" i="6" s="1"/>
  <c r="E33" i="6"/>
  <c r="G33" i="6" s="1"/>
  <c r="E25" i="6"/>
  <c r="F25" i="6" s="1"/>
  <c r="D74" i="6"/>
  <c r="E74" i="6" s="1"/>
  <c r="D66" i="6"/>
  <c r="E66" i="6" s="1"/>
  <c r="E37" i="6"/>
  <c r="F37" i="6" s="1"/>
  <c r="E45" i="6"/>
  <c r="F45" i="6" s="1"/>
  <c r="D65" i="6"/>
  <c r="E65" i="6" s="1"/>
  <c r="E53" i="6"/>
  <c r="F53" i="6" s="1"/>
  <c r="E29" i="6"/>
  <c r="F29" i="6" s="1"/>
  <c r="C16" i="6"/>
  <c r="D71" i="6"/>
  <c r="E71" i="6" s="1"/>
  <c r="D75" i="6"/>
  <c r="E75" i="6" s="1"/>
  <c r="D67" i="6"/>
  <c r="E67" i="6" s="1"/>
  <c r="D70" i="6"/>
  <c r="E70" i="6" s="1"/>
  <c r="G22" i="6"/>
  <c r="F22" i="6"/>
  <c r="F30" i="6"/>
  <c r="G30" i="6"/>
  <c r="F44" i="6"/>
  <c r="G44" i="6"/>
  <c r="G36" i="6"/>
  <c r="F46" i="6"/>
  <c r="G53" i="6"/>
  <c r="G37" i="6"/>
  <c r="G34" i="6"/>
  <c r="F34" i="6"/>
  <c r="F48" i="6"/>
  <c r="G48" i="6"/>
  <c r="F32" i="6"/>
  <c r="G32" i="6"/>
  <c r="E16" i="6"/>
  <c r="G23" i="6"/>
  <c r="B16" i="6"/>
  <c r="G51" i="6"/>
  <c r="G27" i="6"/>
  <c r="F40" i="6" l="1"/>
  <c r="F26" i="6"/>
  <c r="G47" i="6"/>
  <c r="F33" i="6"/>
  <c r="G24" i="6"/>
  <c r="F41" i="6"/>
  <c r="G25" i="6"/>
  <c r="F49" i="6"/>
  <c r="G28" i="6"/>
  <c r="G39" i="6"/>
  <c r="F52" i="6"/>
  <c r="G35" i="6"/>
  <c r="G38" i="6"/>
  <c r="G43" i="6"/>
  <c r="F42" i="6"/>
  <c r="G50" i="6"/>
  <c r="G31" i="6"/>
  <c r="G45" i="6"/>
  <c r="G2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BAF3F9-2EAF-44F1-B3EC-949A3692B0DD}" keepAlive="1" name="Query - 1_Total_Income_vs Total_Expenses_Per_Month" description="Connection to the '1_Total_Income_vs Total_Expenses_Per_Month' query in the workbook." type="5" refreshedVersion="8" background="1" saveData="1">
    <dbPr connection="Provider=Microsoft.Mashup.OleDb.1;Data Source=$Workbook$;Location=&quot;1_Total_Income_vs Total_Expenses_Per_Month&quot;;Extended Properties=&quot;&quot;" command="SELECT * FROM [1_Total_Income_vs Total_Expenses_Per_Month]"/>
  </connection>
  <connection id="2" xr16:uid="{B7576BDD-726A-4165-9F94-0FE66FF446C4}" keepAlive="1" name="Query - 2_Monthly_Savings" description="Connection to the '2_Monthly_Savings' query in the workbook." type="5" refreshedVersion="8" background="1" saveData="1">
    <dbPr connection="Provider=Microsoft.Mashup.OleDb.1;Data Source=$Workbook$;Location=2_Monthly_Savings;Extended Properties=&quot;&quot;" command="SELECT * FROM [2_Monthly_Savings]"/>
  </connection>
  <connection id="3" xr16:uid="{65E18944-ACB0-4473-9CF6-ED925886E4C9}" keepAlive="1" name="Query - 3_Top3_Categories_Spent" description="Connection to the '3_Top3_Categories_Spent' query in the workbook." type="5" refreshedVersion="8" background="1" saveData="1">
    <dbPr connection="Provider=Microsoft.Mashup.OleDb.1;Data Source=$Workbook$;Location=3_Top3_Categories_Spent;Extended Properties=&quot;&quot;" command="SELECT * FROM [3_Top3_Categories_Spent]"/>
  </connection>
  <connection id="4" xr16:uid="{E4DCFF36-BE1B-4F8A-8C63-6D4DFC02E2FE}" keepAlive="1" name="Query - 4_Budgeted_vs_Actual_Spending" description="Connection to the '4_Budgeted_vs_Actual_Spending' query in the workbook." type="5" refreshedVersion="8" background="1" saveData="1">
    <dbPr connection="Provider=Microsoft.Mashup.OleDb.1;Data Source=$Workbook$;Location=4_Budgeted_vs_Actual_Spending;Extended Properties=&quot;&quot;" command="SELECT * FROM [4_Budgeted_vs_Actual_Spending]"/>
  </connection>
  <connection id="5" xr16:uid="{02B855A2-C75C-427A-8CC3-1585C46205B6}" keepAlive="1" name="Query - 5_Savings_Goal_vs_Actual_Savings" description="Connection to the '5_Savings_Goal_vs_Actual_Savings' query in the workbook." type="5" refreshedVersion="8" background="1" saveData="1">
    <dbPr connection="Provider=Microsoft.Mashup.OleDb.1;Data Source=$Workbook$;Location=5_Savings_Goal_vs_Actual_Savings;Extended Properties=&quot;&quot;" command="SELECT * FROM [5_Savings_Goal_vs_Actual_Savings]"/>
  </connection>
</connections>
</file>

<file path=xl/sharedStrings.xml><?xml version="1.0" encoding="utf-8"?>
<sst xmlns="http://schemas.openxmlformats.org/spreadsheetml/2006/main" count="165" uniqueCount="58">
  <si>
    <t>Month</t>
  </si>
  <si>
    <t>Total_income</t>
  </si>
  <si>
    <t>Total_expense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</si>
  <si>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</si>
  <si>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</si>
  <si>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</si>
  <si>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</si>
  <si>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</si>
  <si>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</si>
  <si>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</si>
  <si>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</si>
  <si>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</si>
  <si>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</si>
  <si>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</si>
  <si>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</si>
  <si>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Monthly_savings</t>
  </si>
  <si>
    <t>category_name</t>
  </si>
  <si>
    <t>total_amount</t>
  </si>
  <si>
    <t>Rent</t>
  </si>
  <si>
    <t>Food</t>
  </si>
  <si>
    <t>EMI</t>
  </si>
  <si>
    <t>category_id</t>
  </si>
  <si>
    <t>planned_amount</t>
  </si>
  <si>
    <t>spent_amount</t>
  </si>
  <si>
    <t>overly_spent</t>
  </si>
  <si>
    <t>Entertainment</t>
  </si>
  <si>
    <t>Shopping</t>
  </si>
  <si>
    <t>Utilities</t>
  </si>
  <si>
    <t>Medical</t>
  </si>
  <si>
    <t>target_savings</t>
  </si>
  <si>
    <t>savings_gap</t>
  </si>
  <si>
    <t>Personal Finance Tracker — 2024 Annual Summary</t>
  </si>
  <si>
    <t>Total_Income</t>
  </si>
  <si>
    <t>Total_Expense</t>
  </si>
  <si>
    <t>Monthly_Savings</t>
  </si>
  <si>
    <t>Savings_Rate</t>
  </si>
  <si>
    <t>Total / Average</t>
  </si>
  <si>
    <t>Budget vs Actual Spending — 2024</t>
  </si>
  <si>
    <t>Category</t>
  </si>
  <si>
    <t>Budgeted_Amount</t>
  </si>
  <si>
    <t>Actual_Spent</t>
  </si>
  <si>
    <t>Variance</t>
  </si>
  <si>
    <t>Variance %</t>
  </si>
  <si>
    <t>Status</t>
  </si>
  <si>
    <t>Savings Goal vs Actual — 2024</t>
  </si>
  <si>
    <t>Target_Savings</t>
  </si>
  <si>
    <t>Actual_Savings</t>
  </si>
  <si>
    <t>Difference</t>
  </si>
  <si>
    <t>Label</t>
  </si>
  <si>
    <t>Formula</t>
  </si>
  <si>
    <t>COUNTIF(Status column, "✅ Goal Met")</t>
  </si>
  <si>
    <t>COUNTIF(Status column, "❌ Goal Missed")</t>
  </si>
  <si>
    <t>INDEX(Month column, MATCH(MAX(Actual Savings column), Actual Savings column, 0))</t>
  </si>
  <si>
    <t>Months Goal Met</t>
  </si>
  <si>
    <t>Months Goal Missed</t>
  </si>
  <si>
    <t>Best Saving Month</t>
  </si>
  <si>
    <t>Column1</t>
  </si>
  <si>
    <t>Month_Num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</si>
</sst>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4" fontId="0" fillId="2" borderId="1" xfId="0" applyNumberFormat="1" applyFill="1" applyBorder="1"/>
    <xf numFmtId="164" fontId="0" fillId="0" borderId="1" xfId="0" applyNumberFormat="1" applyBorder="1"/>
    <xf numFmtId="2" fontId="0" fillId="0" borderId="0" xfId="0" applyNumberFormat="1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Income vs Expense vs Savings - 2024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Summary_Dashboard!$B$3</c:f>
              <c:strCache>
                <c:ptCount val="1"/>
                <c:pt idx="0">
                  <c:v>Total_Income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Summary_Dashboard!$A$4:$A$15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Summary_Dashboard!$B$4:$B$15</c:f>
              <c:numCache>
                <c:formatCode>"₹"\ #,##0.00</c:formatCode>
                <c:ptCount val="12"/>
                <c:pt idx="0">
                  <c:v>53000</c:v>
                </c:pt>
                <c:pt idx="1">
                  <c:v>45000</c:v>
                </c:pt>
                <c:pt idx="2">
                  <c:v>50000</c:v>
                </c:pt>
                <c:pt idx="3">
                  <c:v>45000</c:v>
                </c:pt>
                <c:pt idx="4">
                  <c:v>51000</c:v>
                </c:pt>
                <c:pt idx="5">
                  <c:v>45000</c:v>
                </c:pt>
                <c:pt idx="6">
                  <c:v>52000</c:v>
                </c:pt>
                <c:pt idx="7">
                  <c:v>45000</c:v>
                </c:pt>
                <c:pt idx="8">
                  <c:v>49500</c:v>
                </c:pt>
                <c:pt idx="9">
                  <c:v>45000</c:v>
                </c:pt>
                <c:pt idx="10">
                  <c:v>50500</c:v>
                </c:pt>
                <c:pt idx="11">
                  <c:v>54000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92-4F77-A7CE-88B05660E8FD}"/>
            </c:ext>
          </c:extLst>
        </c:ser>
        <c:ser>
          <c:idx val="1"/>
          <c:order val="1"/>
          <c:tx>
            <c:strRef>
              <c:f>Summary_Dashboard!$C$3</c:f>
              <c:strCache>
                <c:ptCount val="1"/>
                <c:pt idx="0">
                  <c:v>Total_Expense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Summary_Dashboard!$A$4:$A$15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Summary_Dashboard!$C$4:$C$15</c:f>
              <c:numCache>
                <c:formatCode>"₹"\ #,##0.00</c:formatCode>
                <c:ptCount val="12"/>
                <c:pt idx="0">
                  <c:v>29700</c:v>
                </c:pt>
                <c:pt idx="1">
                  <c:v>29550</c:v>
                </c:pt>
                <c:pt idx="2">
                  <c:v>30050</c:v>
                </c:pt>
                <c:pt idx="3">
                  <c:v>32350</c:v>
                </c:pt>
                <c:pt idx="4">
                  <c:v>33900</c:v>
                </c:pt>
                <c:pt idx="5">
                  <c:v>32900</c:v>
                </c:pt>
                <c:pt idx="6">
                  <c:v>36800</c:v>
                </c:pt>
                <c:pt idx="7">
                  <c:v>35330</c:v>
                </c:pt>
                <c:pt idx="8">
                  <c:v>31680</c:v>
                </c:pt>
                <c:pt idx="9">
                  <c:v>31640</c:v>
                </c:pt>
                <c:pt idx="10">
                  <c:v>30150</c:v>
                </c:pt>
                <c:pt idx="11">
                  <c:v>40900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92-4F77-A7CE-88B05660E8FD}"/>
            </c:ext>
          </c:extLst>
        </c:ser>
        <c:ser>
          <c:idx val="2"/>
          <c:order val="2"/>
          <c:tx>
            <c:strRef>
              <c:f>Summary_Dashboard!$D$3</c:f>
              <c:strCache>
                <c:ptCount val="1"/>
                <c:pt idx="0">
                  <c:v>Monthly_Savings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Summary_Dashboard!$A$4:$A$15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Summary_Dashboard!$D$4:$D$15</c:f>
              <c:numCache>
                <c:formatCode>"₹"\ #,##0.00</c:formatCode>
                <c:ptCount val="12"/>
                <c:pt idx="0">
                  <c:v>23300</c:v>
                </c:pt>
                <c:pt idx="1">
                  <c:v>15450</c:v>
                </c:pt>
                <c:pt idx="2">
                  <c:v>19950</c:v>
                </c:pt>
                <c:pt idx="3">
                  <c:v>12650</c:v>
                </c:pt>
                <c:pt idx="4">
                  <c:v>17100</c:v>
                </c:pt>
                <c:pt idx="5">
                  <c:v>12100</c:v>
                </c:pt>
                <c:pt idx="6">
                  <c:v>15200</c:v>
                </c:pt>
                <c:pt idx="7">
                  <c:v>9670</c:v>
                </c:pt>
                <c:pt idx="8">
                  <c:v>17820</c:v>
                </c:pt>
                <c:pt idx="9">
                  <c:v>13360</c:v>
                </c:pt>
                <c:pt idx="10">
                  <c:v>20350</c:v>
                </c:pt>
                <c:pt idx="11">
                  <c:v>13100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92-4F77-A7CE-88B05660E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646976"/>
        <c:axId val="687663776"/>
      </c:lineChart>
      <c:catAx>
        <c:axId val="687646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663776"/>
        <c:crosses val="autoZero"/>
        <c:auto val="1"/>
        <c:lblAlgn val="ctr"/>
        <c:lblOffset val="100"/>
        <c:noMultiLvlLbl val="0"/>
      </c:catAx>
      <c:valAx>
        <c:axId val="68766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64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Savings Rate % </a:t>
            </a:r>
            <a:r>
              <a:rPr lang="en-IN" baseline="0"/>
              <a:t> - 2024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Summary_Dashboard!$A$4:$A$15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Summary_Dashboard!$E$4:$E$15</c:f>
              <c:numCache>
                <c:formatCode>0.00</c:formatCode>
                <c:ptCount val="12"/>
                <c:pt idx="0">
                  <c:v>43.96</c:v>
                </c:pt>
                <c:pt idx="1">
                  <c:v>34.33</c:v>
                </c:pt>
                <c:pt idx="2">
                  <c:v>39.9</c:v>
                </c:pt>
                <c:pt idx="3">
                  <c:v>28.11</c:v>
                </c:pt>
                <c:pt idx="4">
                  <c:v>33.53</c:v>
                </c:pt>
                <c:pt idx="5">
                  <c:v>26.89</c:v>
                </c:pt>
                <c:pt idx="6">
                  <c:v>29.23</c:v>
                </c:pt>
                <c:pt idx="7">
                  <c:v>21.49</c:v>
                </c:pt>
                <c:pt idx="8">
                  <c:v>36</c:v>
                </c:pt>
                <c:pt idx="9">
                  <c:v>29.69</c:v>
                </c:pt>
                <c:pt idx="10">
                  <c:v>40.299999999999997</c:v>
                </c:pt>
                <c:pt idx="11">
                  <c:v>24.26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E5-4073-A24C-7E3260C530E3}"/>
            </c:ext>
          </c:extLst>
        </c:ser>
        <c:ser>
          <c:idx val="1"/>
          <c:order val="1"/>
          <c:tx>
            <c:v>Target Rate</c:v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  <c:pt idx="5">
                <c:v>30</c:v>
              </c:pt>
              <c:pt idx="6">
                <c:v>30</c:v>
              </c:pt>
              <c:pt idx="7">
                <c:v>30</c:v>
              </c:pt>
              <c:pt idx="8">
                <c:v>30</c:v>
              </c:pt>
              <c:pt idx="9">
                <c:v>30</c:v>
              </c:pt>
              <c:pt idx="10">
                <c:v>30</c:v>
              </c:pt>
              <c:pt idx="11">
                <c:v>30</c:v>
              </c:pt>
              <c:pt idx="12">
                <c:v>30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8FE5-4073-A24C-7E3260C53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517536"/>
        <c:axId val="1027679856"/>
      </c:lineChart>
      <c:catAx>
        <c:axId val="357517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679856"/>
        <c:crosses val="autoZero"/>
        <c:auto val="1"/>
        <c:lblAlgn val="ctr"/>
        <c:lblOffset val="100"/>
        <c:noMultiLvlLbl val="0"/>
      </c:catAx>
      <c:valAx>
        <c:axId val="10276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Savings Rate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1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3</a:t>
            </a:r>
            <a:r>
              <a:rPr lang="en-IN" baseline="0"/>
              <a:t> Spending Categories - 2024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Raw_Data_Q3!$B$1</c:f>
              <c:strCache>
                <c:ptCount val="1"/>
                <c:pt idx="0">
                  <c:v>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B6-4F76-A13D-FE4E100BBF7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B6-4F76-A13D-FE4E100BBF73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EB6-4F76-A13D-FE4E100BBF73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Raw_Data_Q3!$A$2:$A$4</c:f>
              <c:strCache>
                <c:ptCount val="3"/>
                <c:pt idx="0">
                  <c:v>Rent</c:v>
                </c:pt>
                <c:pt idx="1">
                  <c:v>Food</c:v>
                </c:pt>
                <c:pt idx="2">
                  <c:v>EMI</c:v>
                </c:pt>
              </c:strCache>
            </c:strRef>
          </c:cat>
          <c:val>
            <c:numRef>
              <c:f>Raw_Data_Q3!$B$2:$B$4</c:f>
              <c:numCache>
                <c:formatCode>General</c:formatCode>
                <c:ptCount val="3"/>
                <c:pt idx="0">
                  <c:v>144000</c:v>
                </c:pt>
                <c:pt idx="1">
                  <c:v>61400</c:v>
                </c:pt>
                <c:pt idx="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B6-4F76-A13D-FE4E100BBF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54286032"/>
        <c:axId val="554286992"/>
      </c:barChart>
      <c:catAx>
        <c:axId val="55428603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286992"/>
        <c:crosses val="autoZero"/>
        <c:auto val="1"/>
        <c:lblAlgn val="ctr"/>
        <c:lblOffset val="100"/>
        <c:noMultiLvlLbl val="0"/>
      </c:catAx>
      <c:valAx>
        <c:axId val="5542869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Amount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28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Savings Goal vs Actual —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Target Savings</c:v>
          </c:tx>
          <c:spPr>
            <a:solidFill>
              <a:schemeClr val="bg2">
                <a:lumMod val="50000"/>
                <a:alpha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Summary_Dashboard!$A$65:$A$76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Summary_Dashboard!$B$65:$B$76</c:f>
              <c:numCache>
                <c:formatCode>"₹"\ #,##0</c:formatCode>
                <c:ptCount val="12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  <c:pt idx="6">
                  <c:v>9000</c:v>
                </c:pt>
                <c:pt idx="7">
                  <c:v>9000</c:v>
                </c:pt>
                <c:pt idx="8">
                  <c:v>8000</c:v>
                </c:pt>
                <c:pt idx="9">
                  <c:v>8000</c:v>
                </c:pt>
                <c:pt idx="10">
                  <c:v>8000</c:v>
                </c:pt>
                <c:pt idx="11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1-46C2-AF77-AA6D6230EC15}"/>
            </c:ext>
          </c:extLst>
        </c:ser>
        <c:ser>
          <c:idx val="1"/>
          <c:order val="1"/>
          <c:tx>
            <c:v>Actual Savings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Summary_Dashboard!$A$65:$A$76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Summary_Dashboard!$C$65:$C$76</c:f>
              <c:numCache>
                <c:formatCode>"₹"\ #,##0</c:formatCode>
                <c:ptCount val="12"/>
                <c:pt idx="0">
                  <c:v>23300</c:v>
                </c:pt>
                <c:pt idx="1">
                  <c:v>15450</c:v>
                </c:pt>
                <c:pt idx="2">
                  <c:v>19950</c:v>
                </c:pt>
                <c:pt idx="3">
                  <c:v>12650</c:v>
                </c:pt>
                <c:pt idx="4">
                  <c:v>17100</c:v>
                </c:pt>
                <c:pt idx="5">
                  <c:v>12100</c:v>
                </c:pt>
                <c:pt idx="6">
                  <c:v>15200</c:v>
                </c:pt>
                <c:pt idx="7">
                  <c:v>9670</c:v>
                </c:pt>
                <c:pt idx="8">
                  <c:v>17820</c:v>
                </c:pt>
                <c:pt idx="9">
                  <c:v>13360</c:v>
                </c:pt>
                <c:pt idx="10">
                  <c:v>20350</c:v>
                </c:pt>
                <c:pt idx="11">
                  <c:v>13100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91-46C2-AF77-AA6D6230E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1127008"/>
        <c:axId val="1171125088"/>
      </c:barChart>
      <c:catAx>
        <c:axId val="1171127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>
            <c:manualLayout>
              <c:xMode val="edge"/>
              <c:yMode val="edge"/>
              <c:x val="0.47822790901137358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125088"/>
        <c:crosses val="autoZero"/>
        <c:auto val="1"/>
        <c:lblAlgn val="ctr"/>
        <c:lblOffset val="100"/>
        <c:noMultiLvlLbl val="0"/>
      </c:catAx>
      <c:valAx>
        <c:axId val="117112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12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601980</xdr:colOff>
      <xdr:row>0</xdr:row>
      <xdr:rowOff>171450</xdr:rowOff>
    </xdr:from>
    <xdr:to>
      <xdr:col>16</xdr:col>
      <xdr:colOff>297180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F1BA2A-6B7E-40C9-F90B-770BCAD03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163830</xdr:rowOff>
    </xdr:from>
    <xdr:to>
      <xdr:col>16</xdr:col>
      <xdr:colOff>304800</xdr:colOff>
      <xdr:row>32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6DAEC3-87BD-DCB8-7668-253B4769E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30480</xdr:colOff>
      <xdr:row>35</xdr:row>
      <xdr:rowOff>3810</xdr:rowOff>
    </xdr:from>
    <xdr:to>
      <xdr:col>16</xdr:col>
      <xdr:colOff>335280</xdr:colOff>
      <xdr:row>50</xdr:row>
      <xdr:rowOff>3810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287721AA-6619-CEB3-4C7F-20FA7CB08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22860</xdr:colOff>
      <xdr:row>61</xdr:row>
      <xdr:rowOff>179070</xdr:rowOff>
    </xdr:from>
    <xdr:to>
      <xdr:col>12</xdr:col>
      <xdr:colOff>320040</xdr:colOff>
      <xdr:row>76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685DBE-E4F0-B319-06B3-7D3056126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440BC0-2DB2-4AF7-B3F3-746E3D6842B4}" autoFormatId="16" applyNumberFormats="0" applyBorderFormats="0" applyFontFormats="0" applyPatternFormats="0" applyAlignmentFormats="0" applyWidthHeightFormats="0">
  <queryTableRefresh nextId="6" unboundColumnsRight="1">
    <queryTableFields count="4">
      <queryTableField id="1" name="Month" tableColumnId="1"/>
      <queryTableField id="2" name="Total_income" tableColumnId="2"/>
      <queryTableField id="3" name="Total_expense" tableColumnId="3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2E3685A-4623-41BD-8EAC-15C76A0572EE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Total_income" tableColumnId="2"/>
      <queryTableField id="3" name="Total_expense" tableColumnId="3"/>
      <queryTableField id="4" name="Monthly_saving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687D080-9D11-4580-8298-C1D3A9267508}" autoFormatId="16" applyNumberFormats="0" applyBorderFormats="0" applyFontFormats="0" applyPatternFormats="0" applyAlignmentFormats="0" applyWidthHeightFormats="0">
  <queryTableRefresh nextId="3">
    <queryTableFields count="2">
      <queryTableField id="1" name="category_name" tableColumnId="1"/>
      <queryTableField id="2" name="total_am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6137228-920F-48FB-B3DE-40AE52BFB2D6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category_id" tableColumnId="2"/>
      <queryTableField id="3" name="category_name" tableColumnId="3"/>
      <queryTableField id="4" name="planned_amount" tableColumnId="4"/>
      <queryTableField id="5" name="spent_amount" tableColumnId="5"/>
      <queryTableField id="6" name="overly_spent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D8BE92A-2353-47FD-BBC7-489747035136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Monthly_savings" tableColumnId="2"/>
      <queryTableField id="3" name="target_savings" tableColumnId="3"/>
      <queryTableField id="4" name="savings_gap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CE77E2-D365-4CA1-81D6-65BFBA067DF5}" name="_1_Total_Income_vs_Total_Expenses_Per_Month" displayName="_1_Total_Income_vs_Total_Expenses_Per_Month" ref="A1:D13" tableType="queryTable" totalsRowShown="0">
  <autoFilter ref="A1:D13" xr:uid="{14CE77E2-D365-4CA1-81D6-65BFBA067DF5}"/>
  <tableColumns count="4">
    <tableColumn id="1" xr3:uid="{5E3AD0B1-6CD0-4124-BD6A-9EA5C1A740BC}" uniqueName="1" name="Month" queryTableFieldId="1" dataDxfId="20"/>
    <tableColumn id="2" xr3:uid="{6AFCE144-DE5B-41DA-B552-3C2510928C41}" uniqueName="2" name="Total_income" queryTableFieldId="2"/>
    <tableColumn id="3" xr3:uid="{4061B761-C0A7-4782-A7B0-190BDA6B864A}" uniqueName="3" name="Total_expense" queryTableFieldId="3"/>
    <tableColumn id="5" xr3:uid="{7E8A9708-F202-403E-B881-1FAC4047D143}" uniqueName="5" name="Month_Num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77C11C-F18C-4E7F-BA44-D073A1AE4FF8}" name="_2_Monthly_Savings" displayName="_2_Monthly_Savings" ref="A1:D13" tableType="queryTable" totalsRowShown="0">
  <autoFilter ref="A1:D13" xr:uid="{D777C11C-F18C-4E7F-BA44-D073A1AE4FF8}"/>
  <tableColumns count="4">
    <tableColumn id="1" xr3:uid="{CEE48892-4DD7-46C3-9A70-444A695C357E}" uniqueName="1" name="Month" queryTableFieldId="1" dataDxfId="19"/>
    <tableColumn id="2" xr3:uid="{08FB5000-AE62-4173-BDF7-CCD48DF37E44}" uniqueName="2" name="Total_income" queryTableFieldId="2"/>
    <tableColumn id="3" xr3:uid="{96919493-C840-45AC-93BB-91C65F22F2E6}" uniqueName="3" name="Total_expense" queryTableFieldId="3"/>
    <tableColumn id="4" xr3:uid="{79C7EB58-A0AB-42EC-86A8-AFEFCF998F9C}" uniqueName="4" name="Monthly_saving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3E77B-9C66-43DD-A1EB-B9A0D991989E}" name="_3_Top3_Categories_Spent" displayName="_3_Top3_Categories_Spent" ref="A1:B4" tableType="queryTable" totalsRowShown="0">
  <autoFilter ref="A1:B4" xr:uid="{EF03E77B-9C66-43DD-A1EB-B9A0D991989E}"/>
  <sortState xmlns:xlrd2="http://schemas.microsoft.com/office/spreadsheetml/2017/richdata2" ref="A2:B4">
    <sortCondition descending="1" ref="B1:B4"/>
  </sortState>
  <tableColumns count="2">
    <tableColumn id="1" xr3:uid="{1E68FFE3-2B41-40DA-822E-72D0BAFBC822}" uniqueName="1" name="category_name" queryTableFieldId="1" dataDxfId="18"/>
    <tableColumn id="2" xr3:uid="{EAB3B1A4-59CB-4926-A666-5F62CEA82D64}" uniqueName="2" name="total_amoun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16039F-248A-4749-A8F6-9951250540C6}" name="_4_Budgeted_vs_Actual_Spending" displayName="_4_Budgeted_vs_Actual_Spending" ref="A1:F33" tableType="queryTable" totalsRowShown="0">
  <autoFilter ref="A1:F33" xr:uid="{D916039F-248A-4749-A8F6-9951250540C6}"/>
  <tableColumns count="6">
    <tableColumn id="1" xr3:uid="{4EC55B21-B664-440E-9122-FA0100B3FC95}" uniqueName="1" name="Month" queryTableFieldId="1" dataDxfId="17"/>
    <tableColumn id="2" xr3:uid="{7E6371BF-70F2-4139-9AA0-8818B8029F4F}" uniqueName="2" name="category_id" queryTableFieldId="2"/>
    <tableColumn id="3" xr3:uid="{53851F99-A59B-4139-866D-B0FF7192418A}" uniqueName="3" name="category_name" queryTableFieldId="3" dataDxfId="16"/>
    <tableColumn id="4" xr3:uid="{5E608B22-58C5-416F-BECB-28B4EC96A80D}" uniqueName="4" name="planned_amount" queryTableFieldId="4"/>
    <tableColumn id="5" xr3:uid="{CBEC0192-B236-45C3-919F-2BD19D33F0AA}" uniqueName="5" name="spent_amount" queryTableFieldId="5"/>
    <tableColumn id="6" xr3:uid="{C4DDE267-95D8-4EDD-93C2-55546FDDEE2A}" uniqueName="6" name="overly_spent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FAA927-B4B6-4CAA-84A8-D9E49C6CE910}" name="_5_Savings_Goal_vs_Actual_Savings" displayName="_5_Savings_Goal_vs_Actual_Savings" ref="A1:D13" tableType="queryTable" totalsRowShown="0">
  <autoFilter ref="A1:D13" xr:uid="{5DFAA927-B4B6-4CAA-84A8-D9E49C6CE910}"/>
  <tableColumns count="4">
    <tableColumn id="1" xr3:uid="{B83557D4-F3C5-438A-856F-43AFBEED8107}" uniqueName="1" name="Month" queryTableFieldId="1" dataDxfId="15"/>
    <tableColumn id="2" xr3:uid="{40CD95C3-FD1F-437F-BDD4-870D5802278B}" uniqueName="2" name="Monthly_savings" queryTableFieldId="2"/>
    <tableColumn id="3" xr3:uid="{31845E10-49D8-4B04-8399-717D03F3F5CA}" uniqueName="3" name="target_savings" queryTableFieldId="3"/>
    <tableColumn id="4" xr3:uid="{D6865C01-AE42-4DF8-9CED-0B75F81F2E35}" uniqueName="4" name="savings_gap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CECBAE-8710-4ECE-93CA-12D65B245E2E}" name="Table6" displayName="Table6" ref="A3:E16" totalsRowShown="0" headerRowDxfId="14">
  <autoFilter ref="A3:E16" xr:uid="{6ECECBAE-8710-4ECE-93CA-12D65B245E2E}"/>
  <tableColumns count="5">
    <tableColumn id="1" xr3:uid="{01F28E4E-F807-4C61-8797-81EFFA093903}" name="Month"/>
    <tableColumn id="2" xr3:uid="{A52DEF4E-6FD8-4CA4-B9D9-9B82B3E28AA6}" name="Total_Income" dataDxfId="13"/>
    <tableColumn id="3" xr3:uid="{9255D867-E3A7-4F32-8653-FBEB188EF7F5}" name="Total_Expense" dataDxfId="12"/>
    <tableColumn id="4" xr3:uid="{2D1338FB-2264-4C87-B478-9F884A578931}" name="Monthly_Savings" dataDxfId="11"/>
    <tableColumn id="5" xr3:uid="{C1E43D5D-604B-40F6-A40C-6C9CAB0B98F9}" name="Savings_Rate" dataDxfId="10"/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D28D3F1-43E0-4DB0-8921-5B27B24306CD}" name="Table7" displayName="Table7" ref="A64:E76" totalsRowShown="0" headerRowDxfId="9">
  <autoFilter ref="A64:E76" xr:uid="{DD28D3F1-43E0-4DB0-8921-5B27B24306CD}"/>
  <tableColumns count="5">
    <tableColumn id="1" xr3:uid="{4929239C-8149-43BA-AF54-B6AD197D21F5}" name="Month">
      <calculatedColumnFormula>Raw_Data_Q5!A2</calculatedColumnFormula>
    </tableColumn>
    <tableColumn id="2" xr3:uid="{6BA785E4-1919-43D8-AC46-7414BC8F82B8}" name="Target_Savings" dataDxfId="8">
      <calculatedColumnFormula>Raw_Data_Q5!C2</calculatedColumnFormula>
    </tableColumn>
    <tableColumn id="3" xr3:uid="{97B551A3-42DA-4A8D-9C62-A165FA924DDF}" name="Actual_Savings" dataDxfId="7">
      <calculatedColumnFormula>Raw_Data_Q5!B2</calculatedColumnFormula>
    </tableColumn>
    <tableColumn id="4" xr3:uid="{FFDBA804-244D-4371-8867-2EB08CBFC14D}" name="Difference" dataDxfId="6">
      <calculatedColumnFormula>C65 - B65</calculatedColumnFormula>
    </tableColumn>
    <tableColumn id="5" xr3:uid="{D0ABCC7B-D4DE-44F5-A515-07BC13B37446}" name="Status">
      <calculatedColumnFormula>IF(D65&gt;=0,"✅ Goal Met","❌ Goal Missed")</calculatedColumnFormula>
    </tableColumn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68428ED-1D8B-4BB6-A08C-2B8FFCCEF8A8}" name="Table8" displayName="Table8" ref="A56:C59" totalsRowShown="0">
  <autoFilter ref="A56:C59" xr:uid="{368428ED-1D8B-4BB6-A08C-2B8FFCCEF8A8}"/>
  <tableColumns count="3">
    <tableColumn id="1" xr3:uid="{BBBB6AD2-1416-4574-8A1A-846D290D7A35}" name="Label"/>
    <tableColumn id="2" xr3:uid="{BE78FD1F-A2B4-43B4-BC13-A978390F169B}" name="Formula"/>
    <tableColumn id="3" xr3:uid="{2559A6EA-14B9-4FAC-A20B-01A303D6C01C}" name="Column1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DE81CF-A6E9-4204-A928-2DD405201B67}" name="Table9" displayName="Table9" ref="A21:G53" totalsRowShown="0" headerRowDxfId="5">
  <autoFilter ref="A21:G53" xr:uid="{BCDE81CF-A6E9-4204-A928-2DD405201B67}"/>
  <tableColumns count="7">
    <tableColumn id="1" xr3:uid="{1018C0AE-20C3-4FF2-8B53-3FEA842D5C71}" name="Month">
      <calculatedColumnFormula>Raw_Data_Q4!A2</calculatedColumnFormula>
    </tableColumn>
    <tableColumn id="2" xr3:uid="{56898E9B-C6D7-4328-95EC-720526652281}" name="Category">
      <calculatedColumnFormula>Raw_Data_Q4!C2</calculatedColumnFormula>
    </tableColumn>
    <tableColumn id="3" xr3:uid="{12D8AF4B-268B-4174-A6A4-2063BEDE1E0C}" name="Budgeted_Amount" dataDxfId="4">
      <calculatedColumnFormula>Raw_Data_Q4!D2</calculatedColumnFormula>
    </tableColumn>
    <tableColumn id="4" xr3:uid="{FEC213AA-E302-4355-8E0E-868FB32C44FA}" name="Actual_Spent" dataDxfId="3">
      <calculatedColumnFormula>Raw_Data_Q4!E2</calculatedColumnFormula>
    </tableColumn>
    <tableColumn id="5" xr3:uid="{656FE9FD-99C1-47C0-A26F-21A23592B104}" name="Variance" dataDxfId="2">
      <calculatedColumnFormula>D22-C22</calculatedColumnFormula>
    </tableColumn>
    <tableColumn id="6" xr3:uid="{4B4322DA-169D-4EB4-8A14-7867AFA4A03A}" name="Variance %">
      <calculatedColumnFormula>ROUND((E22/C22)*100,2)</calculatedColumnFormula>
    </tableColumn>
    <tableColumn id="7" xr3:uid="{95686A3A-4C12-4CC3-8F82-002C8BF5F69A}" name="Status">
      <calculatedColumnFormula>IF(E22&gt;0,"⚠️ Over Budget","✅ On Track")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920C4-5BBE-4F86-A7C1-225B456B540B}">
  <dimension ref="A1:D13"/>
  <sheetViews>
    <sheetView tabSelected="1" workbookViewId="0">
      <selection activeCell="F9" sqref="F9"/>
    </sheetView>
  </sheetViews>
  <sheetFormatPr defaultRowHeight="14.4" x14ac:dyDescent="0.3"/>
  <cols>
    <col min="1" max="1" width="9.77734375" bestFit="1" customWidth="1"/>
    <col min="2" max="2" width="14.6640625" bestFit="1" customWidth="1"/>
    <col min="3" max="3" width="15.44140625" bestFit="1" customWidth="1"/>
    <col min="4" max="4" width="1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57</v>
      </c>
    </row>
    <row r="2" spans="1:4" x14ac:dyDescent="0.3">
      <c r="A2" t="s">
        <v>3</v>
      </c>
      <c r="B2">
        <v>53000</v>
      </c>
      <c r="C2">
        <v>29700</v>
      </c>
      <c r="D2">
        <v>1</v>
      </c>
    </row>
    <row r="3" spans="1:4" x14ac:dyDescent="0.3">
      <c r="A3" t="s">
        <v>4</v>
      </c>
      <c r="B3">
        <v>45000</v>
      </c>
      <c r="C3">
        <v>29550</v>
      </c>
      <c r="D3">
        <v>2</v>
      </c>
    </row>
    <row r="4" spans="1:4" x14ac:dyDescent="0.3">
      <c r="A4" t="s">
        <v>5</v>
      </c>
      <c r="B4">
        <v>50000</v>
      </c>
      <c r="C4">
        <v>30050</v>
      </c>
      <c r="D4">
        <v>3</v>
      </c>
    </row>
    <row r="5" spans="1:4" x14ac:dyDescent="0.3">
      <c r="A5" t="s">
        <v>6</v>
      </c>
      <c r="B5">
        <v>45000</v>
      </c>
      <c r="C5">
        <v>32350</v>
      </c>
      <c r="D5">
        <v>4</v>
      </c>
    </row>
    <row r="6" spans="1:4" x14ac:dyDescent="0.3">
      <c r="A6" t="s">
        <v>7</v>
      </c>
      <c r="B6">
        <v>51000</v>
      </c>
      <c r="C6">
        <v>33900</v>
      </c>
      <c r="D6">
        <v>5</v>
      </c>
    </row>
    <row r="7" spans="1:4" x14ac:dyDescent="0.3">
      <c r="A7" t="s">
        <v>8</v>
      </c>
      <c r="B7">
        <v>45000</v>
      </c>
      <c r="C7">
        <v>32900</v>
      </c>
      <c r="D7">
        <v>6</v>
      </c>
    </row>
    <row r="8" spans="1:4" x14ac:dyDescent="0.3">
      <c r="A8" t="s">
        <v>9</v>
      </c>
      <c r="B8">
        <v>52000</v>
      </c>
      <c r="C8">
        <v>36800</v>
      </c>
      <c r="D8">
        <v>7</v>
      </c>
    </row>
    <row r="9" spans="1:4" x14ac:dyDescent="0.3">
      <c r="A9" t="s">
        <v>10</v>
      </c>
      <c r="B9">
        <v>45000</v>
      </c>
      <c r="C9">
        <v>35330</v>
      </c>
      <c r="D9">
        <v>8</v>
      </c>
    </row>
    <row r="10" spans="1:4" x14ac:dyDescent="0.3">
      <c r="A10" t="s">
        <v>11</v>
      </c>
      <c r="B10">
        <v>49500</v>
      </c>
      <c r="C10">
        <v>31680</v>
      </c>
      <c r="D10">
        <v>9</v>
      </c>
    </row>
    <row r="11" spans="1:4" x14ac:dyDescent="0.3">
      <c r="A11" t="s">
        <v>12</v>
      </c>
      <c r="B11">
        <v>45000</v>
      </c>
      <c r="C11">
        <v>31640</v>
      </c>
      <c r="D11">
        <v>10</v>
      </c>
    </row>
    <row r="12" spans="1:4" x14ac:dyDescent="0.3">
      <c r="A12" t="s">
        <v>13</v>
      </c>
      <c r="B12">
        <v>50500</v>
      </c>
      <c r="C12">
        <v>30150</v>
      </c>
      <c r="D12">
        <v>11</v>
      </c>
    </row>
    <row r="13" spans="1:4" x14ac:dyDescent="0.3">
      <c r="A13" t="s">
        <v>14</v>
      </c>
      <c r="B13">
        <v>54000</v>
      </c>
      <c r="C13">
        <v>40900</v>
      </c>
      <c r="D13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F4335-AD28-4D1B-A786-8A040A893087}">
  <dimension ref="A1:D13"/>
  <sheetViews>
    <sheetView workbookViewId="0">
      <selection activeCell="D2" sqref="D2:D13"/>
    </sheetView>
  </sheetViews>
  <sheetFormatPr defaultRowHeight="14.4" x14ac:dyDescent="0.3"/>
  <cols>
    <col min="1" max="1" width="9.77734375" bestFit="1" customWidth="1"/>
    <col min="2" max="2" width="14.6640625" bestFit="1" customWidth="1"/>
    <col min="3" max="3" width="15.44140625" bestFit="1" customWidth="1"/>
    <col min="4" max="4" width="17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15</v>
      </c>
    </row>
    <row r="2" spans="1:4" x14ac:dyDescent="0.3">
      <c r="A2" t="s">
        <v>3</v>
      </c>
      <c r="B2">
        <v>53000</v>
      </c>
      <c r="C2">
        <v>29700</v>
      </c>
      <c r="D2">
        <v>23300</v>
      </c>
    </row>
    <row r="3" spans="1:4" x14ac:dyDescent="0.3">
      <c r="A3" t="s">
        <v>4</v>
      </c>
      <c r="B3">
        <v>45000</v>
      </c>
      <c r="C3">
        <v>29550</v>
      </c>
      <c r="D3">
        <v>15450</v>
      </c>
    </row>
    <row r="4" spans="1:4" x14ac:dyDescent="0.3">
      <c r="A4" t="s">
        <v>5</v>
      </c>
      <c r="B4">
        <v>50000</v>
      </c>
      <c r="C4">
        <v>30050</v>
      </c>
      <c r="D4">
        <v>19950</v>
      </c>
    </row>
    <row r="5" spans="1:4" x14ac:dyDescent="0.3">
      <c r="A5" t="s">
        <v>6</v>
      </c>
      <c r="B5">
        <v>45000</v>
      </c>
      <c r="C5">
        <v>32350</v>
      </c>
      <c r="D5">
        <v>12650</v>
      </c>
    </row>
    <row r="6" spans="1:4" x14ac:dyDescent="0.3">
      <c r="A6" t="s">
        <v>7</v>
      </c>
      <c r="B6">
        <v>51000</v>
      </c>
      <c r="C6">
        <v>33900</v>
      </c>
      <c r="D6">
        <v>17100</v>
      </c>
    </row>
    <row r="7" spans="1:4" x14ac:dyDescent="0.3">
      <c r="A7" t="s">
        <v>8</v>
      </c>
      <c r="B7">
        <v>45000</v>
      </c>
      <c r="C7">
        <v>32900</v>
      </c>
      <c r="D7">
        <v>12100</v>
      </c>
    </row>
    <row r="8" spans="1:4" x14ac:dyDescent="0.3">
      <c r="A8" t="s">
        <v>9</v>
      </c>
      <c r="B8">
        <v>52000</v>
      </c>
      <c r="C8">
        <v>36800</v>
      </c>
      <c r="D8">
        <v>15200</v>
      </c>
    </row>
    <row r="9" spans="1:4" x14ac:dyDescent="0.3">
      <c r="A9" t="s">
        <v>10</v>
      </c>
      <c r="B9">
        <v>45000</v>
      </c>
      <c r="C9">
        <v>35330</v>
      </c>
      <c r="D9">
        <v>9670</v>
      </c>
    </row>
    <row r="10" spans="1:4" x14ac:dyDescent="0.3">
      <c r="A10" t="s">
        <v>11</v>
      </c>
      <c r="B10">
        <v>49500</v>
      </c>
      <c r="C10">
        <v>31680</v>
      </c>
      <c r="D10">
        <v>17820</v>
      </c>
    </row>
    <row r="11" spans="1:4" x14ac:dyDescent="0.3">
      <c r="A11" t="s">
        <v>12</v>
      </c>
      <c r="B11">
        <v>45000</v>
      </c>
      <c r="C11">
        <v>31640</v>
      </c>
      <c r="D11">
        <v>13360</v>
      </c>
    </row>
    <row r="12" spans="1:4" x14ac:dyDescent="0.3">
      <c r="A12" t="s">
        <v>13</v>
      </c>
      <c r="B12">
        <v>50500</v>
      </c>
      <c r="C12">
        <v>30150</v>
      </c>
      <c r="D12">
        <v>20350</v>
      </c>
    </row>
    <row r="13" spans="1:4" x14ac:dyDescent="0.3">
      <c r="A13" t="s">
        <v>14</v>
      </c>
      <c r="B13">
        <v>54000</v>
      </c>
      <c r="C13">
        <v>40900</v>
      </c>
      <c r="D13">
        <v>13100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A1F6-831D-4E01-8623-516E1992BC16}">
  <dimension ref="A1:B4"/>
  <sheetViews>
    <sheetView workbookViewId="0">
      <selection activeCell="G21" sqref="G21"/>
    </sheetView>
  </sheetViews>
  <sheetFormatPr defaultRowHeight="14.4" x14ac:dyDescent="0.3"/>
  <cols>
    <col min="1" max="1" width="16.44140625" bestFit="1" customWidth="1"/>
    <col min="2" max="2" width="14.77734375" bestFit="1" customWidth="1"/>
  </cols>
  <sheetData>
    <row r="1" spans="1:2" x14ac:dyDescent="0.3">
      <c r="A1" t="s">
        <v>16</v>
      </c>
      <c r="B1" t="s">
        <v>17</v>
      </c>
    </row>
    <row r="2" spans="1:2" x14ac:dyDescent="0.3">
      <c r="A2" t="s">
        <v>18</v>
      </c>
      <c r="B2">
        <v>144000</v>
      </c>
    </row>
    <row r="3" spans="1:2" x14ac:dyDescent="0.3">
      <c r="A3" t="s">
        <v>19</v>
      </c>
      <c r="B3">
        <v>61400</v>
      </c>
    </row>
    <row r="4" spans="1:2" x14ac:dyDescent="0.3">
      <c r="A4" t="s">
        <v>20</v>
      </c>
      <c r="B4">
        <v>60000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893D-278C-4303-96D5-375DC803E3BF}">
  <dimension ref="A1:F33"/>
  <sheetViews>
    <sheetView workbookViewId="0"/>
  </sheetViews>
  <sheetFormatPr defaultRowHeight="14.4" x14ac:dyDescent="0.3"/>
  <cols>
    <col min="1" max="1" width="9.77734375" bestFit="1" customWidth="1"/>
    <col min="2" max="2" width="13.109375" bestFit="1" customWidth="1"/>
    <col min="3" max="3" width="16.44140625" bestFit="1" customWidth="1"/>
    <col min="4" max="4" width="17.88671875" bestFit="1" customWidth="1"/>
    <col min="5" max="5" width="15.6640625" bestFit="1" customWidth="1"/>
    <col min="6" max="6" width="14.109375" bestFit="1" customWidth="1"/>
  </cols>
  <sheetData>
    <row r="1" spans="1:6" x14ac:dyDescent="0.3">
      <c r="A1" t="s">
        <v>0</v>
      </c>
      <c r="B1" t="s">
        <v>21</v>
      </c>
      <c r="C1" t="s">
        <v>16</v>
      </c>
      <c r="D1" t="s">
        <v>22</v>
      </c>
      <c r="E1" t="s">
        <v>23</v>
      </c>
      <c r="F1" t="s">
        <v>24</v>
      </c>
    </row>
    <row r="2" spans="1:6" x14ac:dyDescent="0.3">
      <c r="A2" t="s">
        <v>3</v>
      </c>
      <c r="B2">
        <v>7</v>
      </c>
      <c r="C2" t="s">
        <v>25</v>
      </c>
      <c r="D2">
        <v>2000</v>
      </c>
      <c r="E2">
        <v>2100</v>
      </c>
      <c r="F2">
        <v>100</v>
      </c>
    </row>
    <row r="3" spans="1:6" x14ac:dyDescent="0.3">
      <c r="A3" t="s">
        <v>4</v>
      </c>
      <c r="B3">
        <v>9</v>
      </c>
      <c r="C3" t="s">
        <v>26</v>
      </c>
      <c r="D3">
        <v>3000</v>
      </c>
      <c r="E3">
        <v>3200</v>
      </c>
      <c r="F3">
        <v>200</v>
      </c>
    </row>
    <row r="4" spans="1:6" x14ac:dyDescent="0.3">
      <c r="A4" t="s">
        <v>5</v>
      </c>
      <c r="B4">
        <v>7</v>
      </c>
      <c r="C4" t="s">
        <v>25</v>
      </c>
      <c r="D4">
        <v>2000</v>
      </c>
      <c r="E4">
        <v>2200</v>
      </c>
      <c r="F4">
        <v>200</v>
      </c>
    </row>
    <row r="5" spans="1:6" x14ac:dyDescent="0.3">
      <c r="A5" t="s">
        <v>6</v>
      </c>
      <c r="B5">
        <v>9</v>
      </c>
      <c r="C5" t="s">
        <v>26</v>
      </c>
      <c r="D5">
        <v>3000</v>
      </c>
      <c r="E5">
        <v>3800</v>
      </c>
      <c r="F5">
        <v>800</v>
      </c>
    </row>
    <row r="6" spans="1:6" x14ac:dyDescent="0.3">
      <c r="A6" t="s">
        <v>6</v>
      </c>
      <c r="B6">
        <v>7</v>
      </c>
      <c r="C6" t="s">
        <v>25</v>
      </c>
      <c r="D6">
        <v>2500</v>
      </c>
      <c r="E6">
        <v>2900</v>
      </c>
      <c r="F6">
        <v>400</v>
      </c>
    </row>
    <row r="7" spans="1:6" x14ac:dyDescent="0.3">
      <c r="A7" t="s">
        <v>6</v>
      </c>
      <c r="B7">
        <v>8</v>
      </c>
      <c r="C7" t="s">
        <v>27</v>
      </c>
      <c r="D7">
        <v>1500</v>
      </c>
      <c r="E7">
        <v>1550</v>
      </c>
      <c r="F7">
        <v>50</v>
      </c>
    </row>
    <row r="8" spans="1:6" x14ac:dyDescent="0.3">
      <c r="A8" t="s">
        <v>7</v>
      </c>
      <c r="B8">
        <v>7</v>
      </c>
      <c r="C8" t="s">
        <v>25</v>
      </c>
      <c r="D8">
        <v>2500</v>
      </c>
      <c r="E8">
        <v>3200</v>
      </c>
      <c r="F8">
        <v>700</v>
      </c>
    </row>
    <row r="9" spans="1:6" x14ac:dyDescent="0.3">
      <c r="A9" t="s">
        <v>7</v>
      </c>
      <c r="B9">
        <v>9</v>
      </c>
      <c r="C9" t="s">
        <v>26</v>
      </c>
      <c r="D9">
        <v>3500</v>
      </c>
      <c r="E9">
        <v>4200</v>
      </c>
      <c r="F9">
        <v>700</v>
      </c>
    </row>
    <row r="10" spans="1:6" x14ac:dyDescent="0.3">
      <c r="A10" t="s">
        <v>7</v>
      </c>
      <c r="B10">
        <v>4</v>
      </c>
      <c r="C10" t="s">
        <v>19</v>
      </c>
      <c r="D10">
        <v>5000</v>
      </c>
      <c r="E10">
        <v>5300</v>
      </c>
      <c r="F10">
        <v>300</v>
      </c>
    </row>
    <row r="11" spans="1:6" x14ac:dyDescent="0.3">
      <c r="A11" t="s">
        <v>7</v>
      </c>
      <c r="B11">
        <v>8</v>
      </c>
      <c r="C11" t="s">
        <v>27</v>
      </c>
      <c r="D11">
        <v>1500</v>
      </c>
      <c r="E11">
        <v>1600</v>
      </c>
      <c r="F11">
        <v>100</v>
      </c>
    </row>
    <row r="12" spans="1:6" x14ac:dyDescent="0.3">
      <c r="A12" t="s">
        <v>8</v>
      </c>
      <c r="B12">
        <v>7</v>
      </c>
      <c r="C12" t="s">
        <v>25</v>
      </c>
      <c r="D12">
        <v>2500</v>
      </c>
      <c r="E12">
        <v>2900</v>
      </c>
      <c r="F12">
        <v>400</v>
      </c>
    </row>
    <row r="13" spans="1:6" x14ac:dyDescent="0.3">
      <c r="A13" t="s">
        <v>8</v>
      </c>
      <c r="B13">
        <v>4</v>
      </c>
      <c r="C13" t="s">
        <v>19</v>
      </c>
      <c r="D13">
        <v>5000</v>
      </c>
      <c r="E13">
        <v>5250</v>
      </c>
      <c r="F13">
        <v>250</v>
      </c>
    </row>
    <row r="14" spans="1:6" x14ac:dyDescent="0.3">
      <c r="A14" t="s">
        <v>8</v>
      </c>
      <c r="B14">
        <v>9</v>
      </c>
      <c r="C14" t="s">
        <v>26</v>
      </c>
      <c r="D14">
        <v>3500</v>
      </c>
      <c r="E14">
        <v>3600</v>
      </c>
      <c r="F14">
        <v>100</v>
      </c>
    </row>
    <row r="15" spans="1:6" x14ac:dyDescent="0.3">
      <c r="A15" t="s">
        <v>8</v>
      </c>
      <c r="B15">
        <v>10</v>
      </c>
      <c r="C15" t="s">
        <v>28</v>
      </c>
      <c r="D15">
        <v>1000</v>
      </c>
      <c r="E15">
        <v>1100</v>
      </c>
      <c r="F15">
        <v>100</v>
      </c>
    </row>
    <row r="16" spans="1:6" x14ac:dyDescent="0.3">
      <c r="A16" t="s">
        <v>9</v>
      </c>
      <c r="B16">
        <v>7</v>
      </c>
      <c r="C16" t="s">
        <v>25</v>
      </c>
      <c r="D16">
        <v>3000</v>
      </c>
      <c r="E16">
        <v>4300</v>
      </c>
      <c r="F16">
        <v>1300</v>
      </c>
    </row>
    <row r="17" spans="1:6" x14ac:dyDescent="0.3">
      <c r="A17" t="s">
        <v>9</v>
      </c>
      <c r="B17">
        <v>9</v>
      </c>
      <c r="C17" t="s">
        <v>26</v>
      </c>
      <c r="D17">
        <v>4000</v>
      </c>
      <c r="E17">
        <v>5200</v>
      </c>
      <c r="F17">
        <v>1200</v>
      </c>
    </row>
    <row r="18" spans="1:6" x14ac:dyDescent="0.3">
      <c r="A18" t="s">
        <v>9</v>
      </c>
      <c r="B18">
        <v>4</v>
      </c>
      <c r="C18" t="s">
        <v>19</v>
      </c>
      <c r="D18">
        <v>5500</v>
      </c>
      <c r="E18">
        <v>6100</v>
      </c>
      <c r="F18">
        <v>600</v>
      </c>
    </row>
    <row r="19" spans="1:6" x14ac:dyDescent="0.3">
      <c r="A19" t="s">
        <v>9</v>
      </c>
      <c r="B19">
        <v>8</v>
      </c>
      <c r="C19" t="s">
        <v>27</v>
      </c>
      <c r="D19">
        <v>1500</v>
      </c>
      <c r="E19">
        <v>1600</v>
      </c>
      <c r="F19">
        <v>100</v>
      </c>
    </row>
    <row r="20" spans="1:6" x14ac:dyDescent="0.3">
      <c r="A20" t="s">
        <v>10</v>
      </c>
      <c r="B20">
        <v>7</v>
      </c>
      <c r="C20" t="s">
        <v>25</v>
      </c>
      <c r="D20">
        <v>3000</v>
      </c>
      <c r="E20">
        <v>3600</v>
      </c>
      <c r="F20">
        <v>600</v>
      </c>
    </row>
    <row r="21" spans="1:6" x14ac:dyDescent="0.3">
      <c r="A21" t="s">
        <v>10</v>
      </c>
      <c r="B21">
        <v>9</v>
      </c>
      <c r="C21" t="s">
        <v>26</v>
      </c>
      <c r="D21">
        <v>4000</v>
      </c>
      <c r="E21">
        <v>4500</v>
      </c>
      <c r="F21">
        <v>500</v>
      </c>
    </row>
    <row r="22" spans="1:6" x14ac:dyDescent="0.3">
      <c r="A22" t="s">
        <v>10</v>
      </c>
      <c r="B22">
        <v>4</v>
      </c>
      <c r="C22" t="s">
        <v>19</v>
      </c>
      <c r="D22">
        <v>5500</v>
      </c>
      <c r="E22">
        <v>5750</v>
      </c>
      <c r="F22">
        <v>250</v>
      </c>
    </row>
    <row r="23" spans="1:6" x14ac:dyDescent="0.3">
      <c r="A23" t="s">
        <v>10</v>
      </c>
      <c r="B23">
        <v>10</v>
      </c>
      <c r="C23" t="s">
        <v>28</v>
      </c>
      <c r="D23">
        <v>1000</v>
      </c>
      <c r="E23">
        <v>1200</v>
      </c>
      <c r="F23">
        <v>200</v>
      </c>
    </row>
    <row r="24" spans="1:6" x14ac:dyDescent="0.3">
      <c r="A24" t="s">
        <v>10</v>
      </c>
      <c r="B24">
        <v>8</v>
      </c>
      <c r="C24" t="s">
        <v>27</v>
      </c>
      <c r="D24">
        <v>1500</v>
      </c>
      <c r="E24">
        <v>1550</v>
      </c>
      <c r="F24">
        <v>50</v>
      </c>
    </row>
    <row r="25" spans="1:6" x14ac:dyDescent="0.3">
      <c r="A25" t="s">
        <v>11</v>
      </c>
      <c r="B25">
        <v>7</v>
      </c>
      <c r="C25" t="s">
        <v>25</v>
      </c>
      <c r="D25">
        <v>2500</v>
      </c>
      <c r="E25">
        <v>2700</v>
      </c>
      <c r="F25">
        <v>200</v>
      </c>
    </row>
    <row r="26" spans="1:6" x14ac:dyDescent="0.3">
      <c r="A26" t="s">
        <v>12</v>
      </c>
      <c r="B26">
        <v>9</v>
      </c>
      <c r="C26" t="s">
        <v>26</v>
      </c>
      <c r="D26">
        <v>3000</v>
      </c>
      <c r="E26">
        <v>3400</v>
      </c>
      <c r="F26">
        <v>400</v>
      </c>
    </row>
    <row r="27" spans="1:6" x14ac:dyDescent="0.3">
      <c r="A27" t="s">
        <v>12</v>
      </c>
      <c r="B27">
        <v>7</v>
      </c>
      <c r="C27" t="s">
        <v>25</v>
      </c>
      <c r="D27">
        <v>2500</v>
      </c>
      <c r="E27">
        <v>2700</v>
      </c>
      <c r="F27">
        <v>200</v>
      </c>
    </row>
    <row r="28" spans="1:6" x14ac:dyDescent="0.3">
      <c r="A28" t="s">
        <v>12</v>
      </c>
      <c r="B28">
        <v>8</v>
      </c>
      <c r="C28" t="s">
        <v>27</v>
      </c>
      <c r="D28">
        <v>1500</v>
      </c>
      <c r="E28">
        <v>1520</v>
      </c>
      <c r="F28">
        <v>20</v>
      </c>
    </row>
    <row r="29" spans="1:6" x14ac:dyDescent="0.3">
      <c r="A29" t="s">
        <v>13</v>
      </c>
      <c r="B29">
        <v>7</v>
      </c>
      <c r="C29" t="s">
        <v>25</v>
      </c>
      <c r="D29">
        <v>2000</v>
      </c>
      <c r="E29">
        <v>2300</v>
      </c>
      <c r="F29">
        <v>300</v>
      </c>
    </row>
    <row r="30" spans="1:6" x14ac:dyDescent="0.3">
      <c r="A30" t="s">
        <v>14</v>
      </c>
      <c r="B30">
        <v>7</v>
      </c>
      <c r="C30" t="s">
        <v>25</v>
      </c>
      <c r="D30">
        <v>4000</v>
      </c>
      <c r="E30">
        <v>5500</v>
      </c>
      <c r="F30">
        <v>1500</v>
      </c>
    </row>
    <row r="31" spans="1:6" x14ac:dyDescent="0.3">
      <c r="A31" t="s">
        <v>14</v>
      </c>
      <c r="B31">
        <v>9</v>
      </c>
      <c r="C31" t="s">
        <v>26</v>
      </c>
      <c r="D31">
        <v>5000</v>
      </c>
      <c r="E31">
        <v>6500</v>
      </c>
      <c r="F31">
        <v>1500</v>
      </c>
    </row>
    <row r="32" spans="1:6" x14ac:dyDescent="0.3">
      <c r="A32" t="s">
        <v>14</v>
      </c>
      <c r="B32">
        <v>4</v>
      </c>
      <c r="C32" t="s">
        <v>19</v>
      </c>
      <c r="D32">
        <v>6000</v>
      </c>
      <c r="E32">
        <v>7100</v>
      </c>
      <c r="F32">
        <v>1100</v>
      </c>
    </row>
    <row r="33" spans="1:6" x14ac:dyDescent="0.3">
      <c r="A33" t="s">
        <v>14</v>
      </c>
      <c r="B33">
        <v>8</v>
      </c>
      <c r="C33" t="s">
        <v>27</v>
      </c>
      <c r="D33">
        <v>1500</v>
      </c>
      <c r="E33">
        <v>1600</v>
      </c>
      <c r="F33">
        <v>100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E766-B898-4246-94CC-3B420A868A50}">
  <dimension ref="A1:D13"/>
  <sheetViews>
    <sheetView workbookViewId="0">
      <selection activeCell="H21" sqref="H21"/>
    </sheetView>
  </sheetViews>
  <sheetFormatPr defaultRowHeight="14.4" x14ac:dyDescent="0.3"/>
  <cols>
    <col min="1" max="1" width="9.77734375" bestFit="1" customWidth="1"/>
    <col min="2" max="2" width="17.6640625" bestFit="1" customWidth="1"/>
    <col min="3" max="3" width="15.44140625" bestFit="1" customWidth="1"/>
    <col min="4" max="4" width="13.44140625" bestFit="1" customWidth="1"/>
  </cols>
  <sheetData>
    <row r="1" spans="1:4" x14ac:dyDescent="0.3">
      <c r="A1" t="s">
        <v>0</v>
      </c>
      <c r="B1" t="s">
        <v>15</v>
      </c>
      <c r="C1" t="s">
        <v>29</v>
      </c>
      <c r="D1" t="s">
        <v>30</v>
      </c>
    </row>
    <row r="2" spans="1:4" x14ac:dyDescent="0.3">
      <c r="A2" t="s">
        <v>3</v>
      </c>
      <c r="B2">
        <v>23300</v>
      </c>
      <c r="C2">
        <v>8000</v>
      </c>
      <c r="D2">
        <v>15300</v>
      </c>
    </row>
    <row r="3" spans="1:4" x14ac:dyDescent="0.3">
      <c r="A3" t="s">
        <v>4</v>
      </c>
      <c r="B3">
        <v>15450</v>
      </c>
      <c r="C3">
        <v>8000</v>
      </c>
      <c r="D3">
        <v>7450</v>
      </c>
    </row>
    <row r="4" spans="1:4" x14ac:dyDescent="0.3">
      <c r="A4" t="s">
        <v>5</v>
      </c>
      <c r="B4">
        <v>19950</v>
      </c>
      <c r="C4">
        <v>8000</v>
      </c>
      <c r="D4">
        <v>11950</v>
      </c>
    </row>
    <row r="5" spans="1:4" x14ac:dyDescent="0.3">
      <c r="A5" t="s">
        <v>6</v>
      </c>
      <c r="B5">
        <v>12650</v>
      </c>
      <c r="C5">
        <v>8000</v>
      </c>
      <c r="D5">
        <v>4650</v>
      </c>
    </row>
    <row r="6" spans="1:4" x14ac:dyDescent="0.3">
      <c r="A6" t="s">
        <v>7</v>
      </c>
      <c r="B6">
        <v>17100</v>
      </c>
      <c r="C6">
        <v>8000</v>
      </c>
      <c r="D6">
        <v>9100</v>
      </c>
    </row>
    <row r="7" spans="1:4" x14ac:dyDescent="0.3">
      <c r="A7" t="s">
        <v>8</v>
      </c>
      <c r="B7">
        <v>12100</v>
      </c>
      <c r="C7">
        <v>8000</v>
      </c>
      <c r="D7">
        <v>4100</v>
      </c>
    </row>
    <row r="8" spans="1:4" x14ac:dyDescent="0.3">
      <c r="A8" t="s">
        <v>9</v>
      </c>
      <c r="B8">
        <v>15200</v>
      </c>
      <c r="C8">
        <v>9000</v>
      </c>
      <c r="D8">
        <v>6200</v>
      </c>
    </row>
    <row r="9" spans="1:4" x14ac:dyDescent="0.3">
      <c r="A9" t="s">
        <v>10</v>
      </c>
      <c r="B9">
        <v>9670</v>
      </c>
      <c r="C9">
        <v>9000</v>
      </c>
      <c r="D9">
        <v>670</v>
      </c>
    </row>
    <row r="10" spans="1:4" x14ac:dyDescent="0.3">
      <c r="A10" t="s">
        <v>11</v>
      </c>
      <c r="B10">
        <v>17820</v>
      </c>
      <c r="C10">
        <v>8000</v>
      </c>
      <c r="D10">
        <v>9820</v>
      </c>
    </row>
    <row r="11" spans="1:4" x14ac:dyDescent="0.3">
      <c r="A11" t="s">
        <v>12</v>
      </c>
      <c r="B11">
        <v>13360</v>
      </c>
      <c r="C11">
        <v>8000</v>
      </c>
      <c r="D11">
        <v>5360</v>
      </c>
    </row>
    <row r="12" spans="1:4" x14ac:dyDescent="0.3">
      <c r="A12" t="s">
        <v>13</v>
      </c>
      <c r="B12">
        <v>20350</v>
      </c>
      <c r="C12">
        <v>8000</v>
      </c>
      <c r="D12">
        <v>12350</v>
      </c>
    </row>
    <row r="13" spans="1:4" x14ac:dyDescent="0.3">
      <c r="A13" t="s">
        <v>14</v>
      </c>
      <c r="B13">
        <v>13100</v>
      </c>
      <c r="C13">
        <v>6000</v>
      </c>
      <c r="D13">
        <v>7100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A6FE-A760-4356-98F6-7494A7515324}">
  <dimension ref="A1:G76"/>
  <sheetViews>
    <sheetView workbookViewId="0">
      <selection activeCell="N76" sqref="N76"/>
    </sheetView>
  </sheetViews>
  <sheetFormatPr defaultRowHeight="14.4" x14ac:dyDescent="0.3"/>
  <cols>
    <col min="1" max="1" width="18.6640625" customWidth="1"/>
    <col min="2" max="2" width="15.5546875" customWidth="1"/>
    <col min="3" max="3" width="20.33203125" customWidth="1"/>
    <col min="4" max="4" width="16.5546875" customWidth="1"/>
    <col min="5" max="5" width="13.5546875" customWidth="1"/>
    <col min="6" max="6" width="12.109375" customWidth="1"/>
    <col min="7" max="7" width="17.88671875" customWidth="1"/>
  </cols>
  <sheetData>
    <row r="1" spans="1:5" x14ac:dyDescent="0.3">
      <c r="A1" s="5" t="s">
        <v>31</v>
      </c>
    </row>
    <row r="3" spans="1:5" s="5" customFormat="1" x14ac:dyDescent="0.3">
      <c r="A3" s="5" t="s">
        <v>0</v>
      </c>
      <c r="B3" s="5" t="s">
        <v>32</v>
      </c>
      <c r="C3" s="5" t="s">
        <v>33</v>
      </c>
      <c r="D3" s="5" t="s">
        <v>34</v>
      </c>
      <c r="E3" s="5" t="s">
        <v>35</v>
      </c>
    </row>
    <row r="4" spans="1:5" x14ac:dyDescent="0.3">
      <c r="A4" t="s">
        <v>3</v>
      </c>
      <c r="B4" s="1">
        <f>VLOOKUP(A4, Raw_Data_Q1!$A:$C, 2, 0)</f>
        <v>53000</v>
      </c>
      <c r="C4" s="1">
        <f>VLOOKUP(A4, Raw_Data_Q1!$A:$C, 3, 0)</f>
        <v>29700</v>
      </c>
      <c r="D4" s="2">
        <v>23300</v>
      </c>
      <c r="E4" s="4">
        <f>ROUND((D4/B4)*100, 2)</f>
        <v>43.96</v>
      </c>
    </row>
    <row r="5" spans="1:5" x14ac:dyDescent="0.3">
      <c r="A5" t="s">
        <v>4</v>
      </c>
      <c r="B5" s="1">
        <f>VLOOKUP(A5, Raw_Data_Q1!$A:$C, 2, 0)</f>
        <v>45000</v>
      </c>
      <c r="C5" s="1">
        <f>VLOOKUP(A5, Raw_Data_Q1!$A:$C, 3, 0)</f>
        <v>29550</v>
      </c>
      <c r="D5" s="3">
        <v>15450</v>
      </c>
      <c r="E5" s="4">
        <f t="shared" ref="E5:E15" si="0">ROUND((D5/B5)*100, 2)</f>
        <v>34.33</v>
      </c>
    </row>
    <row r="6" spans="1:5" x14ac:dyDescent="0.3">
      <c r="A6" t="s">
        <v>5</v>
      </c>
      <c r="B6" s="1">
        <f>VLOOKUP(A6, Raw_Data_Q1!$A:$C, 2, 0)</f>
        <v>50000</v>
      </c>
      <c r="C6" s="1">
        <f>VLOOKUP(A6, Raw_Data_Q1!$A:$C, 3, 0)</f>
        <v>30050</v>
      </c>
      <c r="D6" s="2">
        <v>19950</v>
      </c>
      <c r="E6" s="4">
        <f t="shared" si="0"/>
        <v>39.9</v>
      </c>
    </row>
    <row r="7" spans="1:5" x14ac:dyDescent="0.3">
      <c r="A7" t="s">
        <v>6</v>
      </c>
      <c r="B7" s="1">
        <f>VLOOKUP(A7, Raw_Data_Q1!$A:$C, 2, 0)</f>
        <v>45000</v>
      </c>
      <c r="C7" s="1">
        <f>VLOOKUP(A7, Raw_Data_Q1!$A:$C, 3, 0)</f>
        <v>32350</v>
      </c>
      <c r="D7" s="3">
        <v>12650</v>
      </c>
      <c r="E7" s="4">
        <f t="shared" si="0"/>
        <v>28.11</v>
      </c>
    </row>
    <row r="8" spans="1:5" x14ac:dyDescent="0.3">
      <c r="A8" t="s">
        <v>7</v>
      </c>
      <c r="B8" s="1">
        <f>VLOOKUP(A8, Raw_Data_Q1!$A:$C, 2, 0)</f>
        <v>51000</v>
      </c>
      <c r="C8" s="1">
        <f>VLOOKUP(A8, Raw_Data_Q1!$A:$C, 3, 0)</f>
        <v>33900</v>
      </c>
      <c r="D8" s="2">
        <v>17100</v>
      </c>
      <c r="E8" s="4">
        <f t="shared" si="0"/>
        <v>33.53</v>
      </c>
    </row>
    <row r="9" spans="1:5" x14ac:dyDescent="0.3">
      <c r="A9" t="s">
        <v>8</v>
      </c>
      <c r="B9" s="1">
        <f>VLOOKUP(A9, Raw_Data_Q1!$A:$C, 2, 0)</f>
        <v>45000</v>
      </c>
      <c r="C9" s="1">
        <f>VLOOKUP(A9, Raw_Data_Q1!$A:$C, 3, 0)</f>
        <v>32900</v>
      </c>
      <c r="D9" s="3">
        <v>12100</v>
      </c>
      <c r="E9" s="4">
        <f t="shared" si="0"/>
        <v>26.89</v>
      </c>
    </row>
    <row r="10" spans="1:5" x14ac:dyDescent="0.3">
      <c r="A10" t="s">
        <v>9</v>
      </c>
      <c r="B10" s="1">
        <f>VLOOKUP(A10, Raw_Data_Q1!$A:$C, 2, 0)</f>
        <v>52000</v>
      </c>
      <c r="C10" s="1">
        <f>VLOOKUP(A10, Raw_Data_Q1!$A:$C, 3, 0)</f>
        <v>36800</v>
      </c>
      <c r="D10" s="2">
        <v>15200</v>
      </c>
      <c r="E10" s="4">
        <f t="shared" si="0"/>
        <v>29.23</v>
      </c>
    </row>
    <row r="11" spans="1:5" x14ac:dyDescent="0.3">
      <c r="A11" t="s">
        <v>10</v>
      </c>
      <c r="B11" s="1">
        <f>VLOOKUP(A11, Raw_Data_Q1!$A:$C, 2, 0)</f>
        <v>45000</v>
      </c>
      <c r="C11" s="1">
        <f>VLOOKUP(A11, Raw_Data_Q1!$A:$C, 3, 0)</f>
        <v>35330</v>
      </c>
      <c r="D11" s="3">
        <v>9670</v>
      </c>
      <c r="E11" s="4">
        <f t="shared" si="0"/>
        <v>21.49</v>
      </c>
    </row>
    <row r="12" spans="1:5" x14ac:dyDescent="0.3">
      <c r="A12" t="s">
        <v>11</v>
      </c>
      <c r="B12" s="1">
        <f>VLOOKUP(A12, Raw_Data_Q1!$A:$C, 2, 0)</f>
        <v>49500</v>
      </c>
      <c r="C12" s="1">
        <f>VLOOKUP(A12, Raw_Data_Q1!$A:$C, 3, 0)</f>
        <v>31680</v>
      </c>
      <c r="D12" s="2">
        <v>17820</v>
      </c>
      <c r="E12" s="4">
        <f t="shared" si="0"/>
        <v>36</v>
      </c>
    </row>
    <row r="13" spans="1:5" x14ac:dyDescent="0.3">
      <c r="A13" t="s">
        <v>12</v>
      </c>
      <c r="B13" s="1">
        <f>VLOOKUP(A13, Raw_Data_Q1!$A:$C, 2, 0)</f>
        <v>45000</v>
      </c>
      <c r="C13" s="1">
        <f>VLOOKUP(A13, Raw_Data_Q1!$A:$C, 3, 0)</f>
        <v>31640</v>
      </c>
      <c r="D13" s="3">
        <v>13360</v>
      </c>
      <c r="E13" s="4">
        <f t="shared" si="0"/>
        <v>29.69</v>
      </c>
    </row>
    <row r="14" spans="1:5" x14ac:dyDescent="0.3">
      <c r="A14" t="s">
        <v>13</v>
      </c>
      <c r="B14" s="1">
        <f>VLOOKUP(A14, Raw_Data_Q1!$A:$C, 2, 0)</f>
        <v>50500</v>
      </c>
      <c r="C14" s="1">
        <f>VLOOKUP(A14, Raw_Data_Q1!$A:$C, 3, 0)</f>
        <v>30150</v>
      </c>
      <c r="D14" s="2">
        <v>20350</v>
      </c>
      <c r="E14" s="4">
        <f t="shared" si="0"/>
        <v>40.299999999999997</v>
      </c>
    </row>
    <row r="15" spans="1:5" x14ac:dyDescent="0.3">
      <c r="A15" t="s">
        <v>14</v>
      </c>
      <c r="B15" s="1">
        <f>VLOOKUP(A15, Raw_Data_Q1!$A:$C, 2, 0)</f>
        <v>54000</v>
      </c>
      <c r="C15" s="1">
        <f>VLOOKUP(A15, Raw_Data_Q1!$A:$C, 3, 0)</f>
        <v>40900</v>
      </c>
      <c r="D15" s="3">
        <v>13100</v>
      </c>
      <c r="E15" s="4">
        <f t="shared" si="0"/>
        <v>24.26</v>
      </c>
    </row>
    <row r="16" spans="1:5" s="5" customFormat="1" x14ac:dyDescent="0.3">
      <c r="A16" s="5" t="s">
        <v>36</v>
      </c>
      <c r="B16" s="6">
        <f>SUM(B4:B15)</f>
        <v>585000</v>
      </c>
      <c r="C16" s="6">
        <f>SUM(C4:C15)</f>
        <v>394950</v>
      </c>
      <c r="D16" s="6">
        <f>SUM(D4:D15)</f>
        <v>190050</v>
      </c>
      <c r="E16" s="7">
        <f>ROUND(AVERAGE(E4:E15),2)</f>
        <v>32.31</v>
      </c>
    </row>
    <row r="19" spans="1:7" x14ac:dyDescent="0.3">
      <c r="A19" s="5" t="s">
        <v>37</v>
      </c>
    </row>
    <row r="21" spans="1:7" x14ac:dyDescent="0.3">
      <c r="A21" s="5" t="s">
        <v>0</v>
      </c>
      <c r="B21" s="5" t="s">
        <v>38</v>
      </c>
      <c r="C21" s="5" t="s">
        <v>39</v>
      </c>
      <c r="D21" s="5" t="s">
        <v>40</v>
      </c>
      <c r="E21" s="5" t="s">
        <v>41</v>
      </c>
      <c r="F21" s="5" t="s">
        <v>42</v>
      </c>
      <c r="G21" s="5" t="s">
        <v>43</v>
      </c>
    </row>
    <row r="22" spans="1:7" x14ac:dyDescent="0.3">
      <c r="A22" t="str">
        <f>Raw_Data_Q4!A2</f>
        <v>January</v>
      </c>
      <c r="B22" t="str">
        <f>Raw_Data_Q4!C2</f>
        <v>Entertainment</v>
      </c>
      <c r="C22" s="8">
        <f>Raw_Data_Q4!D2</f>
        <v>2000</v>
      </c>
      <c r="D22" s="8">
        <f>Raw_Data_Q4!E2</f>
        <v>2100</v>
      </c>
      <c r="E22" s="8">
        <f>D22-C22</f>
        <v>100</v>
      </c>
      <c r="F22">
        <f>ROUND((E22/C22)*100,2)</f>
        <v>5</v>
      </c>
      <c r="G22" t="str">
        <f>IF(E22&gt;0,"⚠️ Over Budget","✅ On Track")</f>
        <v>⚠️ Over Budget</v>
      </c>
    </row>
    <row r="23" spans="1:7" x14ac:dyDescent="0.3">
      <c r="A23" t="str">
        <f>Raw_Data_Q4!A3</f>
        <v>February</v>
      </c>
      <c r="B23" t="str">
        <f>Raw_Data_Q4!C3</f>
        <v>Shopping</v>
      </c>
      <c r="C23" s="8">
        <f>Raw_Data_Q4!D3</f>
        <v>3000</v>
      </c>
      <c r="D23" s="8">
        <f>Raw_Data_Q4!E3</f>
        <v>3200</v>
      </c>
      <c r="E23" s="8">
        <f t="shared" ref="E23:E53" si="1">D23-C23</f>
        <v>200</v>
      </c>
      <c r="F23">
        <f t="shared" ref="F23:F53" si="2">ROUND((E23/C23)*100,2)</f>
        <v>6.67</v>
      </c>
      <c r="G23" t="str">
        <f t="shared" ref="G23:G53" si="3">IF(E23&gt;0,"⚠️ Over Budget","✅ On Track")</f>
        <v>⚠️ Over Budget</v>
      </c>
    </row>
    <row r="24" spans="1:7" x14ac:dyDescent="0.3">
      <c r="A24" t="str">
        <f>Raw_Data_Q4!A4</f>
        <v>March</v>
      </c>
      <c r="B24" t="str">
        <f>Raw_Data_Q4!C4</f>
        <v>Entertainment</v>
      </c>
      <c r="C24" s="8">
        <f>Raw_Data_Q4!D4</f>
        <v>2000</v>
      </c>
      <c r="D24" s="8">
        <f>Raw_Data_Q4!E4</f>
        <v>2200</v>
      </c>
      <c r="E24" s="8">
        <f t="shared" si="1"/>
        <v>200</v>
      </c>
      <c r="F24">
        <f t="shared" si="2"/>
        <v>10</v>
      </c>
      <c r="G24" t="str">
        <f t="shared" si="3"/>
        <v>⚠️ Over Budget</v>
      </c>
    </row>
    <row r="25" spans="1:7" x14ac:dyDescent="0.3">
      <c r="A25" t="str">
        <f>Raw_Data_Q4!A5</f>
        <v>April</v>
      </c>
      <c r="B25" t="str">
        <f>Raw_Data_Q4!C5</f>
        <v>Shopping</v>
      </c>
      <c r="C25" s="8">
        <f>Raw_Data_Q4!D5</f>
        <v>3000</v>
      </c>
      <c r="D25" s="8">
        <f>Raw_Data_Q4!E5</f>
        <v>3800</v>
      </c>
      <c r="E25" s="8">
        <f t="shared" si="1"/>
        <v>800</v>
      </c>
      <c r="F25">
        <f t="shared" si="2"/>
        <v>26.67</v>
      </c>
      <c r="G25" t="str">
        <f t="shared" si="3"/>
        <v>⚠️ Over Budget</v>
      </c>
    </row>
    <row r="26" spans="1:7" x14ac:dyDescent="0.3">
      <c r="A26" t="str">
        <f>Raw_Data_Q4!A6</f>
        <v>April</v>
      </c>
      <c r="B26" t="str">
        <f>Raw_Data_Q4!C6</f>
        <v>Entertainment</v>
      </c>
      <c r="C26" s="8">
        <f>Raw_Data_Q4!D6</f>
        <v>2500</v>
      </c>
      <c r="D26" s="8">
        <f>Raw_Data_Q4!E6</f>
        <v>2900</v>
      </c>
      <c r="E26" s="8">
        <f t="shared" si="1"/>
        <v>400</v>
      </c>
      <c r="F26">
        <f t="shared" si="2"/>
        <v>16</v>
      </c>
      <c r="G26" t="str">
        <f t="shared" si="3"/>
        <v>⚠️ Over Budget</v>
      </c>
    </row>
    <row r="27" spans="1:7" x14ac:dyDescent="0.3">
      <c r="A27" t="str">
        <f>Raw_Data_Q4!A7</f>
        <v>April</v>
      </c>
      <c r="B27" t="str">
        <f>Raw_Data_Q4!C7</f>
        <v>Utilities</v>
      </c>
      <c r="C27" s="8">
        <f>Raw_Data_Q4!D7</f>
        <v>1500</v>
      </c>
      <c r="D27" s="8">
        <f>Raw_Data_Q4!E7</f>
        <v>1550</v>
      </c>
      <c r="E27" s="8">
        <f t="shared" si="1"/>
        <v>50</v>
      </c>
      <c r="F27">
        <f t="shared" si="2"/>
        <v>3.33</v>
      </c>
      <c r="G27" t="str">
        <f t="shared" si="3"/>
        <v>⚠️ Over Budget</v>
      </c>
    </row>
    <row r="28" spans="1:7" x14ac:dyDescent="0.3">
      <c r="A28" t="str">
        <f>Raw_Data_Q4!A8</f>
        <v>May</v>
      </c>
      <c r="B28" t="str">
        <f>Raw_Data_Q4!C8</f>
        <v>Entertainment</v>
      </c>
      <c r="C28" s="8">
        <f>Raw_Data_Q4!D8</f>
        <v>2500</v>
      </c>
      <c r="D28" s="8">
        <f>Raw_Data_Q4!E8</f>
        <v>3200</v>
      </c>
      <c r="E28" s="8">
        <f t="shared" si="1"/>
        <v>700</v>
      </c>
      <c r="F28">
        <f t="shared" si="2"/>
        <v>28</v>
      </c>
      <c r="G28" t="str">
        <f t="shared" si="3"/>
        <v>⚠️ Over Budget</v>
      </c>
    </row>
    <row r="29" spans="1:7" x14ac:dyDescent="0.3">
      <c r="A29" t="str">
        <f>Raw_Data_Q4!A9</f>
        <v>May</v>
      </c>
      <c r="B29" t="str">
        <f>Raw_Data_Q4!C9</f>
        <v>Shopping</v>
      </c>
      <c r="C29" s="8">
        <f>Raw_Data_Q4!D9</f>
        <v>3500</v>
      </c>
      <c r="D29" s="8">
        <f>Raw_Data_Q4!E9</f>
        <v>4200</v>
      </c>
      <c r="E29" s="8">
        <f t="shared" si="1"/>
        <v>700</v>
      </c>
      <c r="F29">
        <f t="shared" si="2"/>
        <v>20</v>
      </c>
      <c r="G29" t="str">
        <f t="shared" si="3"/>
        <v>⚠️ Over Budget</v>
      </c>
    </row>
    <row r="30" spans="1:7" x14ac:dyDescent="0.3">
      <c r="A30" t="str">
        <f>Raw_Data_Q4!A10</f>
        <v>May</v>
      </c>
      <c r="B30" t="str">
        <f>Raw_Data_Q4!C10</f>
        <v>Food</v>
      </c>
      <c r="C30" s="8">
        <f>Raw_Data_Q4!D10</f>
        <v>5000</v>
      </c>
      <c r="D30" s="8">
        <f>Raw_Data_Q4!E10</f>
        <v>5300</v>
      </c>
      <c r="E30" s="8">
        <f t="shared" si="1"/>
        <v>300</v>
      </c>
      <c r="F30">
        <f t="shared" si="2"/>
        <v>6</v>
      </c>
      <c r="G30" t="str">
        <f t="shared" si="3"/>
        <v>⚠️ Over Budget</v>
      </c>
    </row>
    <row r="31" spans="1:7" x14ac:dyDescent="0.3">
      <c r="A31" t="str">
        <f>Raw_Data_Q4!A11</f>
        <v>May</v>
      </c>
      <c r="B31" t="str">
        <f>Raw_Data_Q4!C11</f>
        <v>Utilities</v>
      </c>
      <c r="C31" s="8">
        <f>Raw_Data_Q4!D11</f>
        <v>1500</v>
      </c>
      <c r="D31" s="8">
        <f>Raw_Data_Q4!E11</f>
        <v>1600</v>
      </c>
      <c r="E31" s="8">
        <f t="shared" si="1"/>
        <v>100</v>
      </c>
      <c r="F31">
        <f t="shared" si="2"/>
        <v>6.67</v>
      </c>
      <c r="G31" t="str">
        <f t="shared" si="3"/>
        <v>⚠️ Over Budget</v>
      </c>
    </row>
    <row r="32" spans="1:7" x14ac:dyDescent="0.3">
      <c r="A32" t="str">
        <f>Raw_Data_Q4!A12</f>
        <v>June</v>
      </c>
      <c r="B32" t="str">
        <f>Raw_Data_Q4!C12</f>
        <v>Entertainment</v>
      </c>
      <c r="C32" s="8">
        <f>Raw_Data_Q4!D12</f>
        <v>2500</v>
      </c>
      <c r="D32" s="8">
        <f>Raw_Data_Q4!E12</f>
        <v>2900</v>
      </c>
      <c r="E32" s="8">
        <f t="shared" si="1"/>
        <v>400</v>
      </c>
      <c r="F32">
        <f t="shared" si="2"/>
        <v>16</v>
      </c>
      <c r="G32" t="str">
        <f t="shared" si="3"/>
        <v>⚠️ Over Budget</v>
      </c>
    </row>
    <row r="33" spans="1:7" x14ac:dyDescent="0.3">
      <c r="A33" t="str">
        <f>Raw_Data_Q4!A13</f>
        <v>June</v>
      </c>
      <c r="B33" t="str">
        <f>Raw_Data_Q4!C13</f>
        <v>Food</v>
      </c>
      <c r="C33" s="8">
        <f>Raw_Data_Q4!D13</f>
        <v>5000</v>
      </c>
      <c r="D33" s="8">
        <f>Raw_Data_Q4!E13</f>
        <v>5250</v>
      </c>
      <c r="E33" s="8">
        <f t="shared" si="1"/>
        <v>250</v>
      </c>
      <c r="F33">
        <f t="shared" si="2"/>
        <v>5</v>
      </c>
      <c r="G33" t="str">
        <f t="shared" si="3"/>
        <v>⚠️ Over Budget</v>
      </c>
    </row>
    <row r="34" spans="1:7" x14ac:dyDescent="0.3">
      <c r="A34" t="str">
        <f>Raw_Data_Q4!A14</f>
        <v>June</v>
      </c>
      <c r="B34" t="str">
        <f>Raw_Data_Q4!C14</f>
        <v>Shopping</v>
      </c>
      <c r="C34" s="8">
        <f>Raw_Data_Q4!D14</f>
        <v>3500</v>
      </c>
      <c r="D34" s="8">
        <f>Raw_Data_Q4!E14</f>
        <v>3600</v>
      </c>
      <c r="E34" s="8">
        <f t="shared" si="1"/>
        <v>100</v>
      </c>
      <c r="F34">
        <f t="shared" si="2"/>
        <v>2.86</v>
      </c>
      <c r="G34" t="str">
        <f t="shared" si="3"/>
        <v>⚠️ Over Budget</v>
      </c>
    </row>
    <row r="35" spans="1:7" x14ac:dyDescent="0.3">
      <c r="A35" t="str">
        <f>Raw_Data_Q4!A15</f>
        <v>June</v>
      </c>
      <c r="B35" t="str">
        <f>Raw_Data_Q4!C15</f>
        <v>Medical</v>
      </c>
      <c r="C35" s="8">
        <f>Raw_Data_Q4!D15</f>
        <v>1000</v>
      </c>
      <c r="D35" s="8">
        <f>Raw_Data_Q4!E15</f>
        <v>1100</v>
      </c>
      <c r="E35" s="8">
        <f t="shared" si="1"/>
        <v>100</v>
      </c>
      <c r="F35">
        <f t="shared" si="2"/>
        <v>10</v>
      </c>
      <c r="G35" t="str">
        <f t="shared" si="3"/>
        <v>⚠️ Over Budget</v>
      </c>
    </row>
    <row r="36" spans="1:7" x14ac:dyDescent="0.3">
      <c r="A36" t="str">
        <f>Raw_Data_Q4!A16</f>
        <v>July</v>
      </c>
      <c r="B36" t="str">
        <f>Raw_Data_Q4!C16</f>
        <v>Entertainment</v>
      </c>
      <c r="C36" s="8">
        <f>Raw_Data_Q4!D16</f>
        <v>3000</v>
      </c>
      <c r="D36" s="8">
        <f>Raw_Data_Q4!E16</f>
        <v>4300</v>
      </c>
      <c r="E36" s="8">
        <f t="shared" si="1"/>
        <v>1300</v>
      </c>
      <c r="F36">
        <f t="shared" si="2"/>
        <v>43.33</v>
      </c>
      <c r="G36" t="str">
        <f t="shared" si="3"/>
        <v>⚠️ Over Budget</v>
      </c>
    </row>
    <row r="37" spans="1:7" x14ac:dyDescent="0.3">
      <c r="A37" t="str">
        <f>Raw_Data_Q4!A17</f>
        <v>July</v>
      </c>
      <c r="B37" t="str">
        <f>Raw_Data_Q4!C17</f>
        <v>Shopping</v>
      </c>
      <c r="C37" s="8">
        <f>Raw_Data_Q4!D17</f>
        <v>4000</v>
      </c>
      <c r="D37" s="8">
        <f>Raw_Data_Q4!E17</f>
        <v>5200</v>
      </c>
      <c r="E37" s="8">
        <f t="shared" si="1"/>
        <v>1200</v>
      </c>
      <c r="F37">
        <f t="shared" si="2"/>
        <v>30</v>
      </c>
      <c r="G37" t="str">
        <f t="shared" si="3"/>
        <v>⚠️ Over Budget</v>
      </c>
    </row>
    <row r="38" spans="1:7" x14ac:dyDescent="0.3">
      <c r="A38" t="str">
        <f>Raw_Data_Q4!A18</f>
        <v>July</v>
      </c>
      <c r="B38" t="str">
        <f>Raw_Data_Q4!C18</f>
        <v>Food</v>
      </c>
      <c r="C38" s="8">
        <f>Raw_Data_Q4!D18</f>
        <v>5500</v>
      </c>
      <c r="D38" s="8">
        <f>Raw_Data_Q4!E18</f>
        <v>6100</v>
      </c>
      <c r="E38" s="8">
        <f t="shared" si="1"/>
        <v>600</v>
      </c>
      <c r="F38">
        <f t="shared" si="2"/>
        <v>10.91</v>
      </c>
      <c r="G38" t="str">
        <f t="shared" si="3"/>
        <v>⚠️ Over Budget</v>
      </c>
    </row>
    <row r="39" spans="1:7" x14ac:dyDescent="0.3">
      <c r="A39" t="str">
        <f>Raw_Data_Q4!A19</f>
        <v>July</v>
      </c>
      <c r="B39" t="str">
        <f>Raw_Data_Q4!C19</f>
        <v>Utilities</v>
      </c>
      <c r="C39" s="8">
        <f>Raw_Data_Q4!D19</f>
        <v>1500</v>
      </c>
      <c r="D39" s="8">
        <f>Raw_Data_Q4!E19</f>
        <v>1600</v>
      </c>
      <c r="E39" s="8">
        <f t="shared" si="1"/>
        <v>100</v>
      </c>
      <c r="F39">
        <f t="shared" si="2"/>
        <v>6.67</v>
      </c>
      <c r="G39" t="str">
        <f t="shared" si="3"/>
        <v>⚠️ Over Budget</v>
      </c>
    </row>
    <row r="40" spans="1:7" x14ac:dyDescent="0.3">
      <c r="A40" t="str">
        <f>Raw_Data_Q4!A20</f>
        <v>August</v>
      </c>
      <c r="B40" t="str">
        <f>Raw_Data_Q4!C20</f>
        <v>Entertainment</v>
      </c>
      <c r="C40" s="8">
        <f>Raw_Data_Q4!D20</f>
        <v>3000</v>
      </c>
      <c r="D40" s="8">
        <f>Raw_Data_Q4!E20</f>
        <v>3600</v>
      </c>
      <c r="E40" s="8">
        <f t="shared" si="1"/>
        <v>600</v>
      </c>
      <c r="F40">
        <f t="shared" si="2"/>
        <v>20</v>
      </c>
      <c r="G40" t="str">
        <f t="shared" si="3"/>
        <v>⚠️ Over Budget</v>
      </c>
    </row>
    <row r="41" spans="1:7" x14ac:dyDescent="0.3">
      <c r="A41" t="str">
        <f>Raw_Data_Q4!A21</f>
        <v>August</v>
      </c>
      <c r="B41" t="str">
        <f>Raw_Data_Q4!C21</f>
        <v>Shopping</v>
      </c>
      <c r="C41" s="8">
        <f>Raw_Data_Q4!D21</f>
        <v>4000</v>
      </c>
      <c r="D41" s="8">
        <f>Raw_Data_Q4!E21</f>
        <v>4500</v>
      </c>
      <c r="E41" s="8">
        <f t="shared" si="1"/>
        <v>500</v>
      </c>
      <c r="F41">
        <f t="shared" si="2"/>
        <v>12.5</v>
      </c>
      <c r="G41" t="str">
        <f t="shared" si="3"/>
        <v>⚠️ Over Budget</v>
      </c>
    </row>
    <row r="42" spans="1:7" x14ac:dyDescent="0.3">
      <c r="A42" t="str">
        <f>Raw_Data_Q4!A22</f>
        <v>August</v>
      </c>
      <c r="B42" t="str">
        <f>Raw_Data_Q4!C22</f>
        <v>Food</v>
      </c>
      <c r="C42" s="8">
        <f>Raw_Data_Q4!D22</f>
        <v>5500</v>
      </c>
      <c r="D42" s="8">
        <f>Raw_Data_Q4!E22</f>
        <v>5750</v>
      </c>
      <c r="E42" s="8">
        <f t="shared" si="1"/>
        <v>250</v>
      </c>
      <c r="F42">
        <f t="shared" si="2"/>
        <v>4.55</v>
      </c>
      <c r="G42" t="str">
        <f t="shared" si="3"/>
        <v>⚠️ Over Budget</v>
      </c>
    </row>
    <row r="43" spans="1:7" x14ac:dyDescent="0.3">
      <c r="A43" t="str">
        <f>Raw_Data_Q4!A23</f>
        <v>August</v>
      </c>
      <c r="B43" t="str">
        <f>Raw_Data_Q4!C23</f>
        <v>Medical</v>
      </c>
      <c r="C43" s="8">
        <f>Raw_Data_Q4!D23</f>
        <v>1000</v>
      </c>
      <c r="D43" s="8">
        <f>Raw_Data_Q4!E23</f>
        <v>1200</v>
      </c>
      <c r="E43" s="8">
        <f t="shared" si="1"/>
        <v>200</v>
      </c>
      <c r="F43">
        <f t="shared" si="2"/>
        <v>20</v>
      </c>
      <c r="G43" t="str">
        <f t="shared" si="3"/>
        <v>⚠️ Over Budget</v>
      </c>
    </row>
    <row r="44" spans="1:7" x14ac:dyDescent="0.3">
      <c r="A44" t="str">
        <f>Raw_Data_Q4!A24</f>
        <v>August</v>
      </c>
      <c r="B44" t="str">
        <f>Raw_Data_Q4!C24</f>
        <v>Utilities</v>
      </c>
      <c r="C44" s="8">
        <f>Raw_Data_Q4!D24</f>
        <v>1500</v>
      </c>
      <c r="D44" s="8">
        <f>Raw_Data_Q4!E24</f>
        <v>1550</v>
      </c>
      <c r="E44" s="8">
        <f t="shared" si="1"/>
        <v>50</v>
      </c>
      <c r="F44">
        <f t="shared" si="2"/>
        <v>3.33</v>
      </c>
      <c r="G44" t="str">
        <f t="shared" si="3"/>
        <v>⚠️ Over Budget</v>
      </c>
    </row>
    <row r="45" spans="1:7" x14ac:dyDescent="0.3">
      <c r="A45" t="str">
        <f>Raw_Data_Q4!A25</f>
        <v>September</v>
      </c>
      <c r="B45" t="str">
        <f>Raw_Data_Q4!C25</f>
        <v>Entertainment</v>
      </c>
      <c r="C45" s="8">
        <f>Raw_Data_Q4!D25</f>
        <v>2500</v>
      </c>
      <c r="D45" s="8">
        <f>Raw_Data_Q4!E25</f>
        <v>2700</v>
      </c>
      <c r="E45" s="8">
        <f t="shared" si="1"/>
        <v>200</v>
      </c>
      <c r="F45">
        <f t="shared" si="2"/>
        <v>8</v>
      </c>
      <c r="G45" t="str">
        <f t="shared" si="3"/>
        <v>⚠️ Over Budget</v>
      </c>
    </row>
    <row r="46" spans="1:7" x14ac:dyDescent="0.3">
      <c r="A46" t="str">
        <f>Raw_Data_Q4!A26</f>
        <v>October</v>
      </c>
      <c r="B46" t="str">
        <f>Raw_Data_Q4!C26</f>
        <v>Shopping</v>
      </c>
      <c r="C46" s="8">
        <f>Raw_Data_Q4!D26</f>
        <v>3000</v>
      </c>
      <c r="D46" s="8">
        <f>Raw_Data_Q4!E26</f>
        <v>3400</v>
      </c>
      <c r="E46" s="8">
        <f t="shared" si="1"/>
        <v>400</v>
      </c>
      <c r="F46">
        <f t="shared" si="2"/>
        <v>13.33</v>
      </c>
      <c r="G46" t="str">
        <f t="shared" si="3"/>
        <v>⚠️ Over Budget</v>
      </c>
    </row>
    <row r="47" spans="1:7" x14ac:dyDescent="0.3">
      <c r="A47" t="str">
        <f>Raw_Data_Q4!A27</f>
        <v>October</v>
      </c>
      <c r="B47" t="str">
        <f>Raw_Data_Q4!C27</f>
        <v>Entertainment</v>
      </c>
      <c r="C47" s="8">
        <f>Raw_Data_Q4!D27</f>
        <v>2500</v>
      </c>
      <c r="D47" s="8">
        <f>Raw_Data_Q4!E27</f>
        <v>2700</v>
      </c>
      <c r="E47" s="8">
        <f t="shared" si="1"/>
        <v>200</v>
      </c>
      <c r="F47">
        <f t="shared" si="2"/>
        <v>8</v>
      </c>
      <c r="G47" t="str">
        <f t="shared" si="3"/>
        <v>⚠️ Over Budget</v>
      </c>
    </row>
    <row r="48" spans="1:7" x14ac:dyDescent="0.3">
      <c r="A48" t="str">
        <f>Raw_Data_Q4!A28</f>
        <v>October</v>
      </c>
      <c r="B48" t="str">
        <f>Raw_Data_Q4!C28</f>
        <v>Utilities</v>
      </c>
      <c r="C48" s="8">
        <f>Raw_Data_Q4!D28</f>
        <v>1500</v>
      </c>
      <c r="D48" s="8">
        <f>Raw_Data_Q4!E28</f>
        <v>1520</v>
      </c>
      <c r="E48" s="8">
        <f t="shared" si="1"/>
        <v>20</v>
      </c>
      <c r="F48">
        <f t="shared" si="2"/>
        <v>1.33</v>
      </c>
      <c r="G48" t="str">
        <f t="shared" si="3"/>
        <v>⚠️ Over Budget</v>
      </c>
    </row>
    <row r="49" spans="1:7" x14ac:dyDescent="0.3">
      <c r="A49" t="str">
        <f>Raw_Data_Q4!A29</f>
        <v>November</v>
      </c>
      <c r="B49" t="str">
        <f>Raw_Data_Q4!C29</f>
        <v>Entertainment</v>
      </c>
      <c r="C49" s="8">
        <f>Raw_Data_Q4!D29</f>
        <v>2000</v>
      </c>
      <c r="D49" s="8">
        <f>Raw_Data_Q4!E29</f>
        <v>2300</v>
      </c>
      <c r="E49" s="8">
        <f t="shared" si="1"/>
        <v>300</v>
      </c>
      <c r="F49">
        <f t="shared" si="2"/>
        <v>15</v>
      </c>
      <c r="G49" t="str">
        <f t="shared" si="3"/>
        <v>⚠️ Over Budget</v>
      </c>
    </row>
    <row r="50" spans="1:7" x14ac:dyDescent="0.3">
      <c r="A50" t="str">
        <f>Raw_Data_Q4!A30</f>
        <v>December</v>
      </c>
      <c r="B50" t="str">
        <f>Raw_Data_Q4!C30</f>
        <v>Entertainment</v>
      </c>
      <c r="C50" s="8">
        <f>Raw_Data_Q4!D30</f>
        <v>4000</v>
      </c>
      <c r="D50" s="8">
        <f>Raw_Data_Q4!E30</f>
        <v>5500</v>
      </c>
      <c r="E50" s="8">
        <f t="shared" si="1"/>
        <v>1500</v>
      </c>
      <c r="F50">
        <f t="shared" si="2"/>
        <v>37.5</v>
      </c>
      <c r="G50" t="str">
        <f t="shared" si="3"/>
        <v>⚠️ Over Budget</v>
      </c>
    </row>
    <row r="51" spans="1:7" x14ac:dyDescent="0.3">
      <c r="A51" t="str">
        <f>Raw_Data_Q4!A31</f>
        <v>December</v>
      </c>
      <c r="B51" t="str">
        <f>Raw_Data_Q4!C31</f>
        <v>Shopping</v>
      </c>
      <c r="C51" s="8">
        <f>Raw_Data_Q4!D31</f>
        <v>5000</v>
      </c>
      <c r="D51" s="8">
        <f>Raw_Data_Q4!E31</f>
        <v>6500</v>
      </c>
      <c r="E51" s="8">
        <f t="shared" si="1"/>
        <v>1500</v>
      </c>
      <c r="F51">
        <f t="shared" si="2"/>
        <v>30</v>
      </c>
      <c r="G51" t="str">
        <f t="shared" si="3"/>
        <v>⚠️ Over Budget</v>
      </c>
    </row>
    <row r="52" spans="1:7" x14ac:dyDescent="0.3">
      <c r="A52" t="str">
        <f>Raw_Data_Q4!A32</f>
        <v>December</v>
      </c>
      <c r="B52" t="str">
        <f>Raw_Data_Q4!C32</f>
        <v>Food</v>
      </c>
      <c r="C52" s="8">
        <f>Raw_Data_Q4!D32</f>
        <v>6000</v>
      </c>
      <c r="D52" s="8">
        <f>Raw_Data_Q4!E32</f>
        <v>7100</v>
      </c>
      <c r="E52" s="8">
        <f t="shared" si="1"/>
        <v>1100</v>
      </c>
      <c r="F52">
        <f t="shared" si="2"/>
        <v>18.329999999999998</v>
      </c>
      <c r="G52" t="str">
        <f t="shared" si="3"/>
        <v>⚠️ Over Budget</v>
      </c>
    </row>
    <row r="53" spans="1:7" x14ac:dyDescent="0.3">
      <c r="A53" t="str">
        <f>Raw_Data_Q4!A33</f>
        <v>December</v>
      </c>
      <c r="B53" t="str">
        <f>Raw_Data_Q4!C33</f>
        <v>Utilities</v>
      </c>
      <c r="C53" s="8">
        <f>Raw_Data_Q4!D33</f>
        <v>1500</v>
      </c>
      <c r="D53" s="8">
        <f>Raw_Data_Q4!E33</f>
        <v>1600</v>
      </c>
      <c r="E53" s="8">
        <f t="shared" si="1"/>
        <v>100</v>
      </c>
      <c r="F53">
        <f t="shared" si="2"/>
        <v>6.67</v>
      </c>
      <c r="G53" t="str">
        <f t="shared" si="3"/>
        <v>⚠️ Over Budget</v>
      </c>
    </row>
    <row r="56" spans="1:7" x14ac:dyDescent="0.3">
      <c r="A56" s="5" t="s">
        <v>48</v>
      </c>
      <c r="B56" s="5" t="s">
        <v>49</v>
      </c>
      <c r="C56" t="s">
        <v>56</v>
      </c>
    </row>
    <row r="57" spans="1:7" x14ac:dyDescent="0.3">
      <c r="A57" t="s">
        <v>53</v>
      </c>
      <c r="B57" t="s">
        <v>50</v>
      </c>
    </row>
    <row r="58" spans="1:7" x14ac:dyDescent="0.3">
      <c r="A58" t="s">
        <v>54</v>
      </c>
      <c r="B58" t="s">
        <v>51</v>
      </c>
    </row>
    <row r="59" spans="1:7" x14ac:dyDescent="0.3">
      <c r="A59" t="s">
        <v>55</v>
      </c>
      <c r="B59" t="s">
        <v>52</v>
      </c>
    </row>
    <row r="62" spans="1:7" x14ac:dyDescent="0.3">
      <c r="A62" s="5" t="s">
        <v>44</v>
      </c>
    </row>
    <row r="64" spans="1:7" x14ac:dyDescent="0.3">
      <c r="A64" s="5" t="s">
        <v>0</v>
      </c>
      <c r="B64" s="5" t="s">
        <v>45</v>
      </c>
      <c r="C64" s="5" t="s">
        <v>46</v>
      </c>
      <c r="D64" s="5" t="s">
        <v>47</v>
      </c>
      <c r="E64" s="5" t="s">
        <v>43</v>
      </c>
    </row>
    <row r="65" spans="1:5" x14ac:dyDescent="0.3">
      <c r="A65" t="str">
        <f>Raw_Data_Q5!A2</f>
        <v>January</v>
      </c>
      <c r="B65" s="8">
        <f>Raw_Data_Q5!C2</f>
        <v>8000</v>
      </c>
      <c r="C65" s="8">
        <f>Raw_Data_Q5!B2</f>
        <v>23300</v>
      </c>
      <c r="D65" s="8">
        <f>C65 - B65</f>
        <v>15300</v>
      </c>
      <c r="E65" t="str">
        <f>IF(D65&gt;=0,"✅ Goal Met","❌ Goal Missed")</f>
        <v>✅ Goal Met</v>
      </c>
    </row>
    <row r="66" spans="1:5" x14ac:dyDescent="0.3">
      <c r="A66" t="str">
        <f>Raw_Data_Q5!A3</f>
        <v>February</v>
      </c>
      <c r="B66" s="8">
        <f>Raw_Data_Q5!C3</f>
        <v>8000</v>
      </c>
      <c r="C66" s="8">
        <f>Raw_Data_Q5!B3</f>
        <v>15450</v>
      </c>
      <c r="D66" s="8">
        <f t="shared" ref="D66:D76" si="4">C66 - B66</f>
        <v>7450</v>
      </c>
      <c r="E66" t="str">
        <f t="shared" ref="E66:E76" si="5">IF(D66&gt;=0,"✅ Goal Met","❌ Goal Missed")</f>
        <v>✅ Goal Met</v>
      </c>
    </row>
    <row r="67" spans="1:5" x14ac:dyDescent="0.3">
      <c r="A67" t="str">
        <f>Raw_Data_Q5!A4</f>
        <v>March</v>
      </c>
      <c r="B67" s="8">
        <f>Raw_Data_Q5!C4</f>
        <v>8000</v>
      </c>
      <c r="C67" s="8">
        <f>Raw_Data_Q5!B4</f>
        <v>19950</v>
      </c>
      <c r="D67" s="8">
        <f t="shared" si="4"/>
        <v>11950</v>
      </c>
      <c r="E67" t="str">
        <f t="shared" si="5"/>
        <v>✅ Goal Met</v>
      </c>
    </row>
    <row r="68" spans="1:5" x14ac:dyDescent="0.3">
      <c r="A68" t="str">
        <f>Raw_Data_Q5!A5</f>
        <v>April</v>
      </c>
      <c r="B68" s="8">
        <f>Raw_Data_Q5!C5</f>
        <v>8000</v>
      </c>
      <c r="C68" s="8">
        <f>Raw_Data_Q5!B5</f>
        <v>12650</v>
      </c>
      <c r="D68" s="8">
        <f t="shared" si="4"/>
        <v>4650</v>
      </c>
      <c r="E68" t="str">
        <f t="shared" si="5"/>
        <v>✅ Goal Met</v>
      </c>
    </row>
    <row r="69" spans="1:5" x14ac:dyDescent="0.3">
      <c r="A69" t="str">
        <f>Raw_Data_Q5!A6</f>
        <v>May</v>
      </c>
      <c r="B69" s="8">
        <f>Raw_Data_Q5!C6</f>
        <v>8000</v>
      </c>
      <c r="C69" s="8">
        <f>Raw_Data_Q5!B6</f>
        <v>17100</v>
      </c>
      <c r="D69" s="8">
        <f t="shared" si="4"/>
        <v>9100</v>
      </c>
      <c r="E69" t="str">
        <f t="shared" si="5"/>
        <v>✅ Goal Met</v>
      </c>
    </row>
    <row r="70" spans="1:5" x14ac:dyDescent="0.3">
      <c r="A70" t="str">
        <f>Raw_Data_Q5!A7</f>
        <v>June</v>
      </c>
      <c r="B70" s="8">
        <f>Raw_Data_Q5!C7</f>
        <v>8000</v>
      </c>
      <c r="C70" s="8">
        <f>Raw_Data_Q5!B7</f>
        <v>12100</v>
      </c>
      <c r="D70" s="8">
        <f t="shared" si="4"/>
        <v>4100</v>
      </c>
      <c r="E70" t="str">
        <f t="shared" si="5"/>
        <v>✅ Goal Met</v>
      </c>
    </row>
    <row r="71" spans="1:5" x14ac:dyDescent="0.3">
      <c r="A71" t="str">
        <f>Raw_Data_Q5!A8</f>
        <v>July</v>
      </c>
      <c r="B71" s="8">
        <f>Raw_Data_Q5!C8</f>
        <v>9000</v>
      </c>
      <c r="C71" s="8">
        <f>Raw_Data_Q5!B8</f>
        <v>15200</v>
      </c>
      <c r="D71" s="8">
        <f t="shared" si="4"/>
        <v>6200</v>
      </c>
      <c r="E71" t="str">
        <f t="shared" si="5"/>
        <v>✅ Goal Met</v>
      </c>
    </row>
    <row r="72" spans="1:5" x14ac:dyDescent="0.3">
      <c r="A72" t="str">
        <f>Raw_Data_Q5!A9</f>
        <v>August</v>
      </c>
      <c r="B72" s="8">
        <f>Raw_Data_Q5!C9</f>
        <v>9000</v>
      </c>
      <c r="C72" s="8">
        <f>Raw_Data_Q5!B9</f>
        <v>9670</v>
      </c>
      <c r="D72" s="8">
        <f t="shared" si="4"/>
        <v>670</v>
      </c>
      <c r="E72" t="str">
        <f t="shared" si="5"/>
        <v>✅ Goal Met</v>
      </c>
    </row>
    <row r="73" spans="1:5" x14ac:dyDescent="0.3">
      <c r="A73" t="str">
        <f>Raw_Data_Q5!A10</f>
        <v>September</v>
      </c>
      <c r="B73" s="8">
        <f>Raw_Data_Q5!C10</f>
        <v>8000</v>
      </c>
      <c r="C73" s="8">
        <f>Raw_Data_Q5!B10</f>
        <v>17820</v>
      </c>
      <c r="D73" s="8">
        <f t="shared" si="4"/>
        <v>9820</v>
      </c>
      <c r="E73" t="str">
        <f t="shared" si="5"/>
        <v>✅ Goal Met</v>
      </c>
    </row>
    <row r="74" spans="1:5" x14ac:dyDescent="0.3">
      <c r="A74" t="str">
        <f>Raw_Data_Q5!A11</f>
        <v>October</v>
      </c>
      <c r="B74" s="8">
        <f>Raw_Data_Q5!C11</f>
        <v>8000</v>
      </c>
      <c r="C74" s="8">
        <f>Raw_Data_Q5!B11</f>
        <v>13360</v>
      </c>
      <c r="D74" s="8">
        <f t="shared" si="4"/>
        <v>5360</v>
      </c>
      <c r="E74" t="str">
        <f t="shared" si="5"/>
        <v>✅ Goal Met</v>
      </c>
    </row>
    <row r="75" spans="1:5" x14ac:dyDescent="0.3">
      <c r="A75" t="str">
        <f>Raw_Data_Q5!A12</f>
        <v>November</v>
      </c>
      <c r="B75" s="8">
        <f>Raw_Data_Q5!C12</f>
        <v>8000</v>
      </c>
      <c r="C75" s="8">
        <f>Raw_Data_Q5!B12</f>
        <v>20350</v>
      </c>
      <c r="D75" s="8">
        <f t="shared" si="4"/>
        <v>12350</v>
      </c>
      <c r="E75" t="str">
        <f t="shared" si="5"/>
        <v>✅ Goal Met</v>
      </c>
    </row>
    <row r="76" spans="1:5" x14ac:dyDescent="0.3">
      <c r="A76" t="str">
        <f>Raw_Data_Q5!A13</f>
        <v>December</v>
      </c>
      <c r="B76" s="8">
        <f>Raw_Data_Q5!C13</f>
        <v>6000</v>
      </c>
      <c r="C76" s="8">
        <f>Raw_Data_Q5!B13</f>
        <v>13100</v>
      </c>
      <c r="D76" s="8">
        <f t="shared" si="4"/>
        <v>7100</v>
      </c>
      <c r="E76" t="str">
        <f t="shared" si="5"/>
        <v>✅ Goal Met</v>
      </c>
    </row>
  </sheetData>
  <phoneticPr fontId="2" type="noConversion"/>
  <conditionalFormatting sqref="D65:D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0000"/>
        <color rgb="FF00B050"/>
      </colorScale>
    </cfRule>
  </conditionalFormatting>
  <conditionalFormatting sqref="E4:E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:E53">
    <cfRule type="cellIs" dxfId="1" priority="4" operator="lessThan">
      <formula>0</formula>
    </cfRule>
    <cfRule type="cellIs" dxfId="0" priority="5" operator="greaterThan">
      <formula>0</formula>
    </cfRule>
  </conditionalFormatting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41FDAC-5F51-4223-9DF8-46BC81413B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Raw_Data_Q1</vt:lpstr>
      <vt:lpstr>Raw_Data_Q2</vt:lpstr>
      <vt:lpstr>Raw_Data_Q3</vt:lpstr>
      <vt:lpstr>Raw_Data_Q4</vt:lpstr>
      <vt:lpstr>Raw_Data_Q5</vt:lpstr>
      <vt:lpstr>Summary_Dashboard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Rani</dc:creator>
  <cp:lastModifiedBy>Sandhya Rani</cp:lastModifiedBy>
  <dcterms:created xsi:type="dcterms:W3CDTF">2026-05-29T10:44:34Z</dcterms:created>
  <dcterms:modified xsi:type="dcterms:W3CDTF">2026-05-29T15:50:36Z</dcterms:modified>
</cp:coreProperties>
</file>